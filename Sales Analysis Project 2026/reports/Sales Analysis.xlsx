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C2262827-7775-41DB-AC94-5050B69E0ABF}"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s>
  <definedNames>
    <definedName name="ExternalData_1" localSheetId="1" hidden="1">'clean_sales'!$A$1:$K$51</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1"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L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FECD11D0-F84C-4105-A1FD-03EE6D9D065C}" keepAlive="1" name="Query - logs (2)" description="Connection to the 'logs (2)' query in the workbook." type="5" refreshedVersion="0" background="1">
    <dbPr connection="Provider=Microsoft.Mashup.OleDb.1;Data Source=$Workbook$;Location=&quot;logs (2)&quot;;Extended Properties=&quot;&quot;" command="SELECT * FROM [logs (2)]"/>
  </connection>
  <connection id="4" xr16:uid="{2EF83751-AA2C-433C-8BBD-0275283132DE}" keepAlive="1" name="Query - logs (3)" description="Connection to the 'logs (3)' query in the workbook." type="5" refreshedVersion="0" background="1">
    <dbPr connection="Provider=Microsoft.Mashup.OleDb.1;Data Source=$Workbook$;Location=&quot;logs (3)&quot;;Extended Properties=&quot;&quot;" command="SELECT * FROM [logs (3)]"/>
  </connection>
  <connection id="5"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6"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7"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8"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9"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10"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11"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2"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3"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4"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5"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<sst xmlns="http://schemas.openxmlformats.org/spreadsheetml/2006/main" count="512" uniqueCount="39">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</sst>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68">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yyyy/mm/dd"/>
    </dxf>
    <dxf>
      <numFmt numFmtId="19" formatCode="yyyy/mm/dd"/>
    </dxf>
    <dxf>
      <numFmt numFmtId="0" formatCode="General"/>
    </dxf>
    <dxf>
      <numFmt numFmtId="0" formatCode="General"/>
    </dxf>
    <dxf>
      <numFmt numFmtId="0" formatCode="General"/>
    </dxf>
    <dxf>
      <numFmt numFmtId="0" formatCode="General"/>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onnections" Target="connections.xml"/><Relationship Id="rId5" Type="http://schemas.openxmlformats.org/officeDocument/2006/relationships/pivotCacheDefinition" Target="pivotCache/pivotCacheDefinition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2800" b="1">
                <a:solidFill>
                  <a:schemeClr val="tx2">
                    <a:lumMod val="75000"/>
                    <a:lumOff val="25000"/>
                  </a:schemeClr>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165338635055907"/>
          <c:y val="0.23805149743746207"/>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2800" b="1">
                <a:solidFill>
                  <a:schemeClr val="tx2">
                    <a:lumMod val="75000"/>
                    <a:lumOff val="25000"/>
                  </a:schemeClr>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2800" b="1" i="0" u="none" strike="noStrike" baseline="0">
                <a:solidFill>
                  <a:schemeClr val="tx2">
                    <a:lumMod val="75000"/>
                    <a:lumOff val="25000"/>
                  </a:schemeClr>
                </a:solidFill>
              </a:rPr>
              <a:t>Product category distribution </a:t>
            </a:r>
            <a:endParaRPr lang="en-ZA" sz="2800">
              <a:solidFill>
                <a:schemeClr val="tx2">
                  <a:lumMod val="75000"/>
                  <a:lumOff val="25000"/>
                </a:schemeClr>
              </a:solidFill>
            </a:endParaRPr>
          </a:p>
        </c:rich>
      </c:tx>
      <c:layout>
        <c:manualLayout>
          <c:xMode val="edge"/>
          <c:yMode val="edge"/>
          <c:x val="0.16126206652966771"/>
          <c:y val="5.161950899379264E-3"/>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a:sp3d/>
        </c:spPr>
      </c:pivotFmt>
      <c:pivotFmt>
        <c:idx val="36"/>
        <c:spPr>
          <a:solidFill>
            <a:schemeClr val="accent1"/>
          </a:solidFill>
          <a:ln>
            <a:noFill/>
          </a:ln>
          <a:effectLst>
            <a:outerShdw blurRad="254000" sx="102000" sy="102000" algn="ctr" rotWithShape="0">
              <a:prstClr val="black">
                <a:alpha val="20000"/>
              </a:prstClr>
            </a:outerShdw>
          </a:effectLst>
          <a:sp3d/>
        </c:spPr>
      </c:pivotFmt>
      <c:pivotFmt>
        <c:idx val="37"/>
        <c:spPr>
          <a:solidFill>
            <a:schemeClr val="accent1"/>
          </a:solidFill>
          <a:ln>
            <a:noFill/>
          </a:ln>
          <a:effectLst>
            <a:outerShdw blurRad="254000" sx="102000" sy="102000" algn="ctr" rotWithShape="0">
              <a:prstClr val="black">
                <a:alpha val="20000"/>
              </a:prstClr>
            </a:outerShdw>
          </a:effectLst>
          <a:sp3d/>
        </c:spPr>
      </c:pivotFmt>
      <c:pivotFmt>
        <c:idx val="38"/>
        <c:spPr>
          <a:solidFill>
            <a:schemeClr val="accent1"/>
          </a:solidFill>
          <a:ln>
            <a:noFill/>
          </a:ln>
          <a:effectLst>
            <a:outerShdw blurRad="254000" sx="102000" sy="102000" algn="ctr" rotWithShape="0">
              <a:prstClr val="black">
                <a:alpha val="20000"/>
              </a:prstClr>
            </a:outerShdw>
          </a:effectLst>
          <a:sp3d/>
        </c:spPr>
      </c:pivotFmt>
      <c:pivotFmt>
        <c:idx val="39"/>
        <c:spPr>
          <a:solidFill>
            <a:schemeClr val="accent1"/>
          </a:solidFill>
          <a:ln>
            <a:noFill/>
          </a:ln>
          <a:effectLst>
            <a:outerShdw blurRad="254000" sx="102000" sy="102000" algn="ctr" rotWithShape="0">
              <a:prstClr val="black">
                <a:alpha val="20000"/>
              </a:prstClr>
            </a:outerShdw>
          </a:effectLst>
          <a:sp3d/>
        </c:spPr>
      </c:pivotFmt>
      <c:pivotFmt>
        <c:idx val="40"/>
        <c:spPr>
          <a:solidFill>
            <a:schemeClr val="accent1"/>
          </a:solidFill>
          <a:ln>
            <a:noFill/>
          </a:ln>
          <a:effectLst>
            <a:outerShdw blurRad="254000" sx="102000" sy="102000" algn="ctr" rotWithShape="0">
              <a:prstClr val="black">
                <a:alpha val="20000"/>
              </a:prstClr>
            </a:outerShdw>
          </a:effectLst>
          <a:sp3d/>
        </c:spPr>
      </c:pivotFmt>
      <c:pivotFmt>
        <c:idx val="41"/>
        <c:spPr>
          <a:solidFill>
            <a:schemeClr val="accent1"/>
          </a:solidFill>
          <a:ln>
            <a:noFill/>
          </a:ln>
          <a:effectLst>
            <a:outerShdw blurRad="254000" sx="102000" sy="102000" algn="ctr" rotWithShape="0">
              <a:prstClr val="black">
                <a:alpha val="20000"/>
              </a:prstClr>
            </a:outerShdw>
          </a:effectLst>
          <a:sp3d/>
        </c:spPr>
      </c:pivotFmt>
      <c:pivotFmt>
        <c:idx val="42"/>
        <c:spPr>
          <a:solidFill>
            <a:schemeClr val="accent1"/>
          </a:solidFill>
          <a:ln>
            <a:noFill/>
          </a:ln>
          <a:effectLst>
            <a:outerShdw blurRad="254000" sx="102000" sy="102000" algn="ctr" rotWithShape="0">
              <a:prstClr val="black">
                <a:alpha val="20000"/>
              </a:prstClr>
            </a:outerShdw>
          </a:effectLst>
          <a:sp3d/>
        </c:spPr>
      </c:pivotFmt>
      <c:pivotFmt>
        <c:idx val="43"/>
        <c:spPr>
          <a:solidFill>
            <a:schemeClr val="accent1"/>
          </a:solidFill>
          <a:ln>
            <a:noFill/>
          </a:ln>
          <a:effectLst>
            <a:outerShdw blurRad="254000" sx="102000" sy="102000" algn="ctr" rotWithShape="0">
              <a:prstClr val="black">
                <a:alpha val="20000"/>
              </a:prstClr>
            </a:outerShdw>
          </a:effectLst>
          <a:sp3d/>
        </c:spPr>
      </c:pivotFmt>
      <c:pivotFmt>
        <c:idx val="44"/>
        <c:spPr>
          <a:solidFill>
            <a:schemeClr val="accent1"/>
          </a:solidFill>
          <a:ln>
            <a:noFill/>
          </a:ln>
          <a:effectLst>
            <a:outerShdw blurRad="254000" sx="102000" sy="102000" algn="ctr" rotWithShape="0">
              <a:prstClr val="black">
                <a:alpha val="20000"/>
              </a:prstClr>
            </a:outerShdw>
          </a:effectLst>
          <a:sp3d/>
        </c:spPr>
      </c:pivotFmt>
      <c:pivotFmt>
        <c:idx val="45"/>
        <c:spPr>
          <a:solidFill>
            <a:schemeClr val="accent1"/>
          </a:solidFill>
          <a:ln>
            <a:noFill/>
          </a:ln>
          <a:effectLst>
            <a:outerShdw blurRad="254000" sx="102000" sy="102000" algn="ctr" rotWithShape="0">
              <a:prstClr val="black">
                <a:alpha val="20000"/>
              </a:prstClr>
            </a:outerShdw>
          </a:effectLst>
          <a:sp3d/>
        </c:spPr>
      </c:pivotFmt>
      <c:pivotFmt>
        <c:idx val="46"/>
        <c:spPr>
          <a:solidFill>
            <a:schemeClr val="accent1"/>
          </a:solidFill>
          <a:ln>
            <a:noFill/>
          </a:ln>
          <a:effectLst>
            <a:outerShdw blurRad="254000" sx="102000" sy="102000" algn="ctr" rotWithShape="0">
              <a:prstClr val="black">
                <a:alpha val="20000"/>
              </a:prstClr>
            </a:outerShdw>
          </a:effectLst>
          <a:sp3d/>
        </c:spPr>
      </c:pivotFmt>
      <c:pivotFmt>
        <c:idx val="47"/>
        <c:spPr>
          <a:solidFill>
            <a:schemeClr val="accent1"/>
          </a:solidFill>
          <a:ln>
            <a:noFill/>
          </a:ln>
          <a:effectLst>
            <a:outerShdw blurRad="254000" sx="102000" sy="102000" algn="ctr" rotWithShape="0">
              <a:prstClr val="black">
                <a:alpha val="20000"/>
              </a:prstClr>
            </a:outerShdw>
          </a:effectLst>
          <a:sp3d/>
        </c:spPr>
      </c:pivotFmt>
      <c:pivotFmt>
        <c:idx val="48"/>
        <c:spPr>
          <a:solidFill>
            <a:schemeClr val="accent1"/>
          </a:solidFill>
          <a:ln>
            <a:noFill/>
          </a:ln>
          <a:effectLst>
            <a:outerShdw blurRad="254000" sx="102000" sy="102000" algn="ctr" rotWithShape="0">
              <a:prstClr val="black">
                <a:alpha val="20000"/>
              </a:prstClr>
            </a:outerShdw>
          </a:effectLst>
          <a:sp3d/>
        </c:spPr>
      </c:pivotFmt>
      <c:pivotFmt>
        <c:idx val="49"/>
        <c:spPr>
          <a:solidFill>
            <a:schemeClr val="accent1"/>
          </a:solidFill>
          <a:ln>
            <a:noFill/>
          </a:ln>
          <a:effectLst>
            <a:outerShdw blurRad="254000" sx="102000" sy="102000" algn="ctr" rotWithShape="0">
              <a:prstClr val="black">
                <a:alpha val="20000"/>
              </a:prstClr>
            </a:outerShdw>
          </a:effectLst>
          <a:sp3d/>
        </c:spPr>
      </c:pivotFmt>
      <c:pivotFmt>
        <c:idx val="50"/>
        <c:spPr>
          <a:solidFill>
            <a:schemeClr val="accent1"/>
          </a:solidFill>
          <a:ln>
            <a:noFill/>
          </a:ln>
          <a:effectLst>
            <a:outerShdw blurRad="254000" sx="102000" sy="102000" algn="ctr" rotWithShape="0">
              <a:prstClr val="black">
                <a:alpha val="20000"/>
              </a:prstClr>
            </a:outerShdw>
          </a:effectLst>
          <a:sp3d/>
        </c:spPr>
      </c:pivotFmt>
      <c:pivotFmt>
        <c:idx val="51"/>
        <c:spPr>
          <a:solidFill>
            <a:schemeClr val="accent1"/>
          </a:solidFill>
          <a:ln>
            <a:noFill/>
          </a:ln>
          <a:effectLst>
            <a:outerShdw blurRad="254000" sx="102000" sy="102000" algn="ctr" rotWithShape="0">
              <a:prstClr val="black">
                <a:alpha val="20000"/>
              </a:prstClr>
            </a:outerShdw>
          </a:effectLst>
          <a:sp3d/>
        </c:spPr>
      </c:pivotFmt>
      <c:pivotFmt>
        <c:idx val="52"/>
        <c:spPr>
          <a:solidFill>
            <a:schemeClr val="accent1"/>
          </a:solidFill>
          <a:ln>
            <a:noFill/>
          </a:ln>
          <a:effectLst>
            <a:outerShdw blurRad="254000" sx="102000" sy="102000" algn="ctr" rotWithShape="0">
              <a:prstClr val="black">
                <a:alpha val="20000"/>
              </a:prstClr>
            </a:outerShdw>
          </a:effectLst>
          <a:sp3d/>
        </c:spPr>
      </c:pivotFmt>
      <c:pivotFmt>
        <c:idx val="53"/>
        <c:spPr>
          <a:solidFill>
            <a:schemeClr val="accent1"/>
          </a:solidFill>
          <a:ln>
            <a:noFill/>
          </a:ln>
          <a:effectLst>
            <a:outerShdw blurRad="254000" sx="102000" sy="102000" algn="ctr" rotWithShape="0">
              <a:prstClr val="black">
                <a:alpha val="20000"/>
              </a:prstClr>
            </a:outerShdw>
          </a:effectLst>
          <a:sp3d/>
        </c:spPr>
      </c:pivotFmt>
      <c:pivotFmt>
        <c:idx val="54"/>
        <c:spPr>
          <a:solidFill>
            <a:schemeClr val="accent1"/>
          </a:solidFill>
          <a:ln>
            <a:noFill/>
          </a:ln>
          <a:effectLst>
            <a:outerShdw blurRad="254000" sx="102000" sy="102000" algn="ctr" rotWithShape="0">
              <a:prstClr val="black">
                <a:alpha val="20000"/>
              </a:prstClr>
            </a:outerShdw>
          </a:effectLst>
          <a:sp3d/>
        </c:spPr>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0226789058111347E-2"/>
          <c:y val="0.14520124555620456"/>
          <c:w val="0.61192595618126422"/>
          <c:h val="0.85479875444379538"/>
        </c:manualLayout>
      </c:layout>
      <c:pie3D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0.76949988870395758"/>
          <c:y val="0.12772192831973789"/>
          <c:w val="0.23050014351048037"/>
          <c:h val="0.4381681010714125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2800" b="1">
                <a:solidFill>
                  <a:schemeClr val="tx2">
                    <a:lumMod val="75000"/>
                    <a:lumOff val="25000"/>
                  </a:schemeClr>
                </a:solidFill>
              </a:rPr>
              <a:t>Sales</a:t>
            </a:r>
            <a:r>
              <a:rPr lang="en-ZA" sz="2800" b="1" baseline="0">
                <a:solidFill>
                  <a:schemeClr val="tx2">
                    <a:lumMod val="75000"/>
                    <a:lumOff val="25000"/>
                  </a:schemeClr>
                </a:solidFill>
              </a:rPr>
              <a:t> by Region</a:t>
            </a:r>
            <a:endParaRPr lang="en-ZA" sz="2800" b="1">
              <a:solidFill>
                <a:schemeClr val="tx2">
                  <a:lumMod val="75000"/>
                  <a:lumOff val="25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16749367637384888"/>
          <c:y val="0.16500453258235875"/>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10</xdr:col>
      <xdr:colOff>205155</xdr:colOff>
      <xdr:row>7</xdr:row>
      <xdr:rowOff>72761</xdr:rowOff>
    </xdr:from>
    <xdr:to>
      <xdr:col>42</xdr:col>
      <xdr:colOff>3</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359770" y="1303684"/>
          <a:ext cx="19489618"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 DATA</a:t>
          </a:r>
          <a:r>
            <a:rPr lang="en-ZA" sz="3200" b="1" baseline="0">
              <a:solidFill>
                <a:schemeClr val="bg1"/>
              </a:solidFill>
            </a:rPr>
            <a:t> DASHBOARD</a:t>
          </a:r>
          <a:endParaRPr lang="en-ZA" sz="3200" b="1">
            <a:solidFill>
              <a:schemeClr val="bg1"/>
            </a:solidFill>
          </a:endParaRPr>
        </a:p>
      </xdr:txBody>
    </xdr:sp>
    <xdr:clientData/>
  </xdr:oneCellAnchor>
  <xdr:twoCellAnchor>
    <xdr:from>
      <xdr:col>10</xdr:col>
      <xdr:colOff>219808</xdr:colOff>
      <xdr:row>25</xdr:row>
      <xdr:rowOff>144686</xdr:rowOff>
    </xdr:from>
    <xdr:to>
      <xdr:col>21</xdr:col>
      <xdr:colOff>602333</xdr:colOff>
      <xdr:row>45</xdr:row>
      <xdr:rowOff>131885</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374423" y="4540840"/>
          <a:ext cx="7152602" cy="350412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29308</xdr:colOff>
      <xdr:row>26</xdr:row>
      <xdr:rowOff>117232</xdr:rowOff>
    </xdr:from>
    <xdr:to>
      <xdr:col>20</xdr:col>
      <xdr:colOff>502229</xdr:colOff>
      <xdr:row>45</xdr:row>
      <xdr:rowOff>31535</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41</xdr:col>
      <xdr:colOff>330679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190500</xdr:colOff>
      <xdr:row>49</xdr:row>
      <xdr:rowOff>0</xdr:rowOff>
    </xdr:from>
    <xdr:to>
      <xdr:col>21</xdr:col>
      <xdr:colOff>510173</xdr:colOff>
      <xdr:row>71</xdr:row>
      <xdr:rowOff>117231</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345115" y="8616462"/>
          <a:ext cx="7089750" cy="3985846"/>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10</xdr:col>
      <xdr:colOff>351693</xdr:colOff>
      <xdr:row>50</xdr:row>
      <xdr:rowOff>102576</xdr:rowOff>
    </xdr:from>
    <xdr:to>
      <xdr:col>21</xdr:col>
      <xdr:colOff>234462</xdr:colOff>
      <xdr:row>70</xdr:row>
      <xdr:rowOff>117231</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43961</xdr:rowOff>
    </xdr:from>
    <xdr:to>
      <xdr:col>42</xdr:col>
      <xdr:colOff>15240</xdr:colOff>
      <xdr:row>71</xdr:row>
      <xdr:rowOff>161193</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478663" y="9005081"/>
          <a:ext cx="7139777" cy="41405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87923</xdr:colOff>
      <xdr:row>50</xdr:row>
      <xdr:rowOff>117230</xdr:rowOff>
    </xdr:from>
    <xdr:to>
      <xdr:col>40</xdr:col>
      <xdr:colOff>527538</xdr:colOff>
      <xdr:row>70</xdr:row>
      <xdr:rowOff>161191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219808</xdr:colOff>
      <xdr:row>17</xdr:row>
      <xdr:rowOff>161193</xdr:rowOff>
    </xdr:from>
    <xdr:to>
      <xdr:col>16</xdr:col>
      <xdr:colOff>58615</xdr:colOff>
      <xdr:row>23</xdr:row>
      <xdr:rowOff>131884</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374423" y="3150578"/>
          <a:ext cx="3531577" cy="102576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55847</xdr:colOff>
      <xdr:row>18</xdr:row>
      <xdr:rowOff>29308</xdr:rowOff>
    </xdr:from>
    <xdr:to>
      <xdr:col>15</xdr:col>
      <xdr:colOff>293078</xdr:colOff>
      <xdr:row>22</xdr:row>
      <xdr:rowOff>165374</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672309" y="3194539"/>
          <a:ext cx="852692" cy="839450"/>
        </a:xfrm>
        <a:prstGeom prst="rect">
          <a:avLst/>
        </a:prstGeom>
      </xdr:spPr>
    </xdr:pic>
    <xdr:clientData/>
  </xdr:twoCellAnchor>
  <xdr:oneCellAnchor>
    <xdr:from>
      <xdr:col>10</xdr:col>
      <xdr:colOff>385239</xdr:colOff>
      <xdr:row>18</xdr:row>
      <xdr:rowOff>40459</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539854" y="3205690"/>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14</xdr:row>
      <xdr:rowOff>117231</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1072163"/>
        </a:xfrm>
        <a:prstGeom prst="rect">
          <a:avLst/>
        </a:prstGeom>
      </xdr:spPr>
    </xdr:pic>
    <xdr:clientData/>
  </xdr:twoCellAnchor>
  <xdr:twoCellAnchor editAs="oneCell">
    <xdr:from>
      <xdr:col>37</xdr:col>
      <xdr:colOff>219807</xdr:colOff>
      <xdr:row>7</xdr:row>
      <xdr:rowOff>114798</xdr:rowOff>
    </xdr:from>
    <xdr:to>
      <xdr:col>41</xdr:col>
      <xdr:colOff>37845</xdr:colOff>
      <xdr:row>14</xdr:row>
      <xdr:rowOff>117231</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991884" y="1345721"/>
          <a:ext cx="2279884" cy="1233356"/>
        </a:xfrm>
        <a:prstGeom prst="rect">
          <a:avLst/>
        </a:prstGeom>
      </xdr:spPr>
    </xdr:pic>
    <xdr:clientData/>
  </xdr:twoCellAnchor>
  <xdr:oneCellAnchor>
    <xdr:from>
      <xdr:col>10</xdr:col>
      <xdr:colOff>385238</xdr:colOff>
      <xdr:row>20</xdr:row>
      <xdr:rowOff>95568</xdr:rowOff>
    </xdr:from>
    <xdr:ext cx="1916002" cy="437831"/>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481238" y="3753168"/>
          <a:ext cx="1916002" cy="4378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800" b="1" i="0" u="none" strike="noStrike">
              <a:solidFill>
                <a:schemeClr val="tx1"/>
              </a:solidFill>
              <a:effectLst/>
              <a:latin typeface="+mn-lt"/>
              <a:ea typeface="+mn-ea"/>
              <a:cs typeface="+mn-cs"/>
            </a:rPr>
            <a:t>R918 500</a:t>
          </a:r>
          <a:r>
            <a:rPr lang="en-ZA" sz="2800">
              <a:effectLst/>
            </a:rPr>
            <a:t> </a:t>
          </a:r>
          <a:endParaRPr lang="en-ZA" sz="2800" b="1">
            <a:solidFill>
              <a:schemeClr val="tx1"/>
            </a:solidFill>
          </a:endParaRPr>
        </a:p>
      </xdr:txBody>
    </xdr:sp>
    <xdr:clientData/>
  </xdr:oneCellAnchor>
  <xdr:twoCellAnchor>
    <xdr:from>
      <xdr:col>16</xdr:col>
      <xdr:colOff>571501</xdr:colOff>
      <xdr:row>17</xdr:row>
      <xdr:rowOff>161192</xdr:rowOff>
    </xdr:from>
    <xdr:to>
      <xdr:col>22</xdr:col>
      <xdr:colOff>424962</xdr:colOff>
      <xdr:row>23</xdr:row>
      <xdr:rowOff>146538</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418886" y="3150577"/>
          <a:ext cx="3546230" cy="104042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65538</xdr:colOff>
      <xdr:row>18</xdr:row>
      <xdr:rowOff>22928</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528384" y="3188159"/>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119618</xdr:colOff>
      <xdr:row>18</xdr:row>
      <xdr:rowOff>67998</xdr:rowOff>
    </xdr:from>
    <xdr:to>
      <xdr:col>22</xdr:col>
      <xdr:colOff>430768</xdr:colOff>
      <xdr:row>23</xdr:row>
      <xdr:rowOff>42596</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044310" y="3233229"/>
          <a:ext cx="926612" cy="853829"/>
        </a:xfrm>
        <a:prstGeom prst="rect">
          <a:avLst/>
        </a:prstGeom>
      </xdr:spPr>
    </xdr:pic>
    <xdr:clientData/>
  </xdr:twoCellAnchor>
  <xdr:oneCellAnchor>
    <xdr:from>
      <xdr:col>17</xdr:col>
      <xdr:colOff>57514</xdr:colOff>
      <xdr:row>20</xdr:row>
      <xdr:rowOff>98442</xdr:rowOff>
    </xdr:from>
    <xdr:ext cx="2822845" cy="530658"/>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420714" y="3756042"/>
          <a:ext cx="282284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i="0" u="none" strike="noStrike">
              <a:solidFill>
                <a:schemeClr val="tx1"/>
              </a:solidFill>
              <a:effectLst/>
              <a:latin typeface="+mn-lt"/>
              <a:ea typeface="+mn-ea"/>
              <a:cs typeface="+mn-cs"/>
            </a:rPr>
            <a:t>David   </a:t>
          </a:r>
          <a:r>
            <a:rPr lang="en-ZA" sz="2800" b="0" i="0" u="none" strike="noStrike">
              <a:solidFill>
                <a:schemeClr val="accent6">
                  <a:lumMod val="75000"/>
                </a:schemeClr>
              </a:solidFill>
              <a:effectLst/>
              <a:latin typeface="+mn-lt"/>
              <a:ea typeface="+mn-ea"/>
              <a:cs typeface="+mn-cs"/>
            </a:rPr>
            <a:t>30.08%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23</xdr:col>
      <xdr:colOff>424961</xdr:colOff>
      <xdr:row>17</xdr:row>
      <xdr:rowOff>174481</xdr:rowOff>
    </xdr:from>
    <xdr:to>
      <xdr:col>29</xdr:col>
      <xdr:colOff>220132</xdr:colOff>
      <xdr:row>23</xdr:row>
      <xdr:rowOff>131884</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580576" y="3163866"/>
          <a:ext cx="3487941" cy="10124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420943</xdr:colOff>
      <xdr:row>18</xdr:row>
      <xdr:rowOff>118248</xdr:rowOff>
    </xdr:from>
    <xdr:to>
      <xdr:col>29</xdr:col>
      <xdr:colOff>117231</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7038405" y="3283479"/>
          <a:ext cx="927211" cy="841131"/>
        </a:xfrm>
        <a:prstGeom prst="rect">
          <a:avLst/>
        </a:prstGeom>
      </xdr:spPr>
    </xdr:pic>
    <xdr:clientData/>
  </xdr:twoCellAnchor>
  <xdr:oneCellAnchor>
    <xdr:from>
      <xdr:col>23</xdr:col>
      <xdr:colOff>512884</xdr:colOff>
      <xdr:row>20</xdr:row>
      <xdr:rowOff>131073</xdr:rowOff>
    </xdr:from>
    <xdr:ext cx="2580835" cy="530658"/>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533684" y="3788673"/>
          <a:ext cx="2580835"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East     </a:t>
          </a:r>
          <a:r>
            <a:rPr lang="en-ZA" sz="2800" b="0" i="0" u="none" strike="noStrike">
              <a:solidFill>
                <a:schemeClr val="accent6">
                  <a:lumMod val="75000"/>
                </a:schemeClr>
              </a:solidFill>
              <a:effectLst/>
              <a:latin typeface="+mn-lt"/>
              <a:ea typeface="+mn-ea"/>
              <a:cs typeface="+mn-cs"/>
            </a:rPr>
            <a:t>29.40%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30</xdr:col>
      <xdr:colOff>76200</xdr:colOff>
      <xdr:row>17</xdr:row>
      <xdr:rowOff>131884</xdr:rowOff>
    </xdr:from>
    <xdr:to>
      <xdr:col>35</xdr:col>
      <xdr:colOff>395653</xdr:colOff>
      <xdr:row>23</xdr:row>
      <xdr:rowOff>131884</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364200" y="3240844"/>
          <a:ext cx="3367453" cy="1097280"/>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219971</xdr:colOff>
      <xdr:row>20</xdr:row>
      <xdr:rowOff>164649</xdr:rowOff>
    </xdr:from>
    <xdr:ext cx="3010909" cy="530658"/>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507971" y="3822249"/>
          <a:ext cx="3010909"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Phone    </a:t>
          </a:r>
          <a:r>
            <a:rPr lang="en-ZA" sz="2800" b="0" i="0" u="none" strike="noStrike">
              <a:solidFill>
                <a:schemeClr val="accent6">
                  <a:lumMod val="75000"/>
                </a:schemeClr>
              </a:solidFill>
              <a:effectLst/>
              <a:latin typeface="+mn-lt"/>
              <a:ea typeface="+mn-ea"/>
              <a:cs typeface="+mn-cs"/>
            </a:rPr>
            <a:t>47.90%</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xdr:from>
      <xdr:col>36</xdr:col>
      <xdr:colOff>219808</xdr:colOff>
      <xdr:row>17</xdr:row>
      <xdr:rowOff>153854</xdr:rowOff>
    </xdr:from>
    <xdr:to>
      <xdr:col>41</xdr:col>
      <xdr:colOff>586154</xdr:colOff>
      <xdr:row>23</xdr:row>
      <xdr:rowOff>131884</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376423" y="3143239"/>
          <a:ext cx="3443654" cy="1033107"/>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337039</xdr:colOff>
      <xdr:row>18</xdr:row>
      <xdr:rowOff>35629</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493654" y="3200860"/>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366347</xdr:colOff>
      <xdr:row>20</xdr:row>
      <xdr:rowOff>160626</xdr:rowOff>
    </xdr:from>
    <xdr:ext cx="3001693" cy="530658"/>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311947" y="3818226"/>
          <a:ext cx="3001693"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2800" b="1">
              <a:solidFill>
                <a:schemeClr val="tx1"/>
              </a:solidFill>
            </a:rPr>
            <a:t>April    </a:t>
          </a:r>
          <a:r>
            <a:rPr lang="en-ZA" sz="2800" b="0" i="0" u="none" strike="noStrike">
              <a:solidFill>
                <a:schemeClr val="accent6">
                  <a:lumMod val="75000"/>
                </a:schemeClr>
              </a:solidFill>
              <a:effectLst/>
              <a:latin typeface="+mn-lt"/>
              <a:ea typeface="+mn-ea"/>
              <a:cs typeface="+mn-cs"/>
            </a:rPr>
            <a:t>30.38%</a:t>
          </a:r>
          <a:r>
            <a:rPr lang="en-ZA" sz="2800">
              <a:solidFill>
                <a:schemeClr val="accent6">
                  <a:lumMod val="75000"/>
                </a:schemeClr>
              </a:solidFill>
              <a:effectLst/>
            </a:rPr>
            <a:t> </a:t>
          </a:r>
          <a:endParaRPr lang="en-ZA" sz="28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146537</xdr:rowOff>
    </xdr:from>
    <xdr:to>
      <xdr:col>29</xdr:col>
      <xdr:colOff>220133</xdr:colOff>
      <xdr:row>71</xdr:row>
      <xdr:rowOff>175845</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542691"/>
          <a:ext cx="4068289" cy="8118231"/>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265757</xdr:colOff>
      <xdr:row>26</xdr:row>
      <xdr:rowOff>178191</xdr:rowOff>
    </xdr:from>
    <xdr:to>
      <xdr:col>28</xdr:col>
      <xdr:colOff>464449</xdr:colOff>
      <xdr:row>35</xdr:row>
      <xdr:rowOff>163538</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4286557" y="4933071"/>
              <a:ext cx="3246692" cy="163126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296237</xdr:colOff>
      <xdr:row>36</xdr:row>
      <xdr:rowOff>145455</xdr:rowOff>
    </xdr:from>
    <xdr:to>
      <xdr:col>28</xdr:col>
      <xdr:colOff>458929</xdr:colOff>
      <xdr:row>48</xdr:row>
      <xdr:rowOff>134230</xdr:rowOff>
    </xdr:to>
    <mc:AlternateContent xmlns:mc="http://schemas.openxmlformats.org/markup-compatibility/2006" xmlns:a14="http://schemas.microsoft.com/office/drawing/2010/main">
      <mc:Choice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mlns="">
        <xdr:sp macro="" textlink="">
          <xdr:nvSpPr>
            <xdr:cNvPr id="0" name=""/>
            <xdr:cNvSpPr>
              <a:spLocks noTextEdit="1"/>
            </xdr:cNvSpPr>
          </xdr:nvSpPr>
          <xdr:spPr>
            <a:xfrm>
              <a:off x="14317037" y="6729135"/>
              <a:ext cx="3210692" cy="2183335"/>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282170</xdr:colOff>
      <xdr:row>49</xdr:row>
      <xdr:rowOff>122084</xdr:rowOff>
    </xdr:from>
    <xdr:to>
      <xdr:col>28</xdr:col>
      <xdr:colOff>444862</xdr:colOff>
      <xdr:row>61</xdr:row>
      <xdr:rowOff>90855</xdr:rowOff>
    </xdr:to>
    <mc:AlternateContent xmlns:mc="http://schemas.openxmlformats.org/markup-compatibility/2006" xmlns:a14="http://schemas.microsoft.com/office/drawing/2010/main">
      <mc:Choice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14302970" y="9083204"/>
              <a:ext cx="3210692" cy="216333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281584</xdr:colOff>
      <xdr:row>62</xdr:row>
      <xdr:rowOff>45117</xdr:rowOff>
    </xdr:from>
    <xdr:to>
      <xdr:col>28</xdr:col>
      <xdr:colOff>444276</xdr:colOff>
      <xdr:row>70</xdr:row>
      <xdr:rowOff>58617</xdr:rowOff>
    </xdr:to>
    <mc:AlternateContent xmlns:mc="http://schemas.openxmlformats.org/markup-compatibility/2006" xmlns:a14="http://schemas.microsoft.com/office/drawing/2010/main">
      <mc:Choice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mlns="">
        <xdr:sp macro="" textlink="">
          <xdr:nvSpPr>
            <xdr:cNvPr id="0" name=""/>
            <xdr:cNvSpPr>
              <a:spLocks noTextEdit="1"/>
            </xdr:cNvSpPr>
          </xdr:nvSpPr>
          <xdr:spPr>
            <a:xfrm>
              <a:off x="14302384" y="11383677"/>
              <a:ext cx="3210692" cy="147654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3.452872106478"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20T00:00:00"/>
        <d v="2024-02-15T00:00:00"/>
        <d v="2024-02-25T00:00:00"/>
        <d v="2024-03-08T00:00:00"/>
        <d v="2024-03-10T00:00:00"/>
        <d v="2024-03-30T00:00:00"/>
        <d v="2024-04-08T00:00:00"/>
        <d v="2024-04-20T00:00:00"/>
        <d v="2024-01-15T00:00:00"/>
        <d v="2024-02-01T00:00:00"/>
        <d v="2024-03-18T00:00:00"/>
        <d v="2024-04-18T00:00:00"/>
        <d v="2024-04-28T00:00:00"/>
        <d v="2024-02-03T00:00:00"/>
        <d v="2024-02-12T00:00:00"/>
        <d v="2024-02-28T00:00:00"/>
        <d v="2024-03-20T00:00:00"/>
        <d v="2024-03-28T00:00:00"/>
        <d v="2024-04-10T00:00:00"/>
        <d v="2024-04-30T00:00:00"/>
        <d v="2024-01-22T00:00:00"/>
        <d v="2024-01-28T00:00:00"/>
        <d v="2024-02-18T00:00:00"/>
        <d v="2024-02-22T00:00:00"/>
        <d v="2024-03-12T00:00:00"/>
        <d v="2024-03-16T00:00:00"/>
        <d v="2024-04-02T00:00:00"/>
        <d v="2024-04-06T00:00:00"/>
        <d v="2024-04-22T00:00:00"/>
        <d v="2024-04-26T00:00:00"/>
        <d v="2024-01-10T00:00:00"/>
        <d v="2024-02-10T00:00:00"/>
        <d v="2024-03-06T00:00:00"/>
        <d v="2024-03-26T00:00:00"/>
        <d v="2024-04-16T00:00:00"/>
        <d v="2024-01-05T00:00:00"/>
        <d v="2024-02-05T00:00:00"/>
        <d v="2024-03-02T00:00:00"/>
        <d v="2024-03-22T00:00:00"/>
        <d v="2024-04-12T00:00:00"/>
        <d v="2024-02-07T00:00:00"/>
        <d v="2024-03-24T00:00:00"/>
        <d v="2024-01-07T00:00:00"/>
        <d v="2024-03-04T00:00:00"/>
        <d v="2024-04-14T00:00:00"/>
        <d v="2024-01-25T00:00:00"/>
        <d v="2024-03-14T00:00:00"/>
        <d v="2024-04-24T00:00:00"/>
        <d v="2024-02-20T00:00:00"/>
        <d v="2024-04-04T00:00:00"/>
      </sharedItems>
      <fieldGroup par="13"/>
    </cacheField>
    <cacheField name="product" numFmtId="0">
      <sharedItems count="5">
        <s v="Desk"/>
        <s v="Chair"/>
        <s v="Laptop"/>
        <s v="Tablet"/>
        <s v="Phone"/>
      </sharedItems>
    </cacheField>
    <cacheField name="category" numFmtId="0">
      <sharedItems count="2">
        <s v="Furniture"/>
        <s v="Electronics"/>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East"/>
        <s v="West"/>
        <s v="South"/>
      </sharedItems>
    </cacheField>
    <cacheField name="salesperson" numFmtId="0">
      <sharedItems count="5">
        <s v="John"/>
        <s v="David"/>
        <s v="Sarah"/>
        <s v="Unknown"/>
        <s v="Mary"/>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5"/>
    <x v="0"/>
    <x v="0"/>
    <x v="0"/>
    <n v="2"/>
    <n v="3000"/>
    <x v="0"/>
    <x v="0"/>
    <n v="6000"/>
    <n v="1"/>
    <s v=""/>
    <s v="Jan"/>
  </r>
  <r>
    <n v="1015"/>
    <x v="1"/>
    <x v="0"/>
    <x v="0"/>
    <n v="2"/>
    <n v="3000"/>
    <x v="1"/>
    <x v="1"/>
    <n v="6000"/>
    <n v="2"/>
    <s v=""/>
    <s v="Feb"/>
  </r>
  <r>
    <n v="1019"/>
    <x v="2"/>
    <x v="1"/>
    <x v="0"/>
    <n v="4"/>
    <n v="1500"/>
    <x v="1"/>
    <x v="1"/>
    <n v="6000"/>
    <n v="2"/>
    <s v=""/>
    <s v="Feb"/>
  </r>
  <r>
    <n v="1024"/>
    <x v="3"/>
    <x v="1"/>
    <x v="0"/>
    <n v="4"/>
    <n v="1500"/>
    <x v="2"/>
    <x v="2"/>
    <n v="6000"/>
    <n v="3"/>
    <s v=""/>
    <s v="Mar"/>
  </r>
  <r>
    <n v="1025"/>
    <x v="4"/>
    <x v="0"/>
    <x v="0"/>
    <n v="2"/>
    <n v="3000"/>
    <x v="0"/>
    <x v="0"/>
    <n v="6000"/>
    <n v="3"/>
    <s v=""/>
    <s v="Mar"/>
  </r>
  <r>
    <n v="1035"/>
    <x v="5"/>
    <x v="0"/>
    <x v="0"/>
    <n v="2"/>
    <n v="3000"/>
    <x v="1"/>
    <x v="1"/>
    <n v="6000"/>
    <n v="3"/>
    <s v=""/>
    <s v="Mar"/>
  </r>
  <r>
    <n v="1039"/>
    <x v="6"/>
    <x v="1"/>
    <x v="0"/>
    <n v="4"/>
    <n v="1500"/>
    <x v="1"/>
    <x v="1"/>
    <n v="6000"/>
    <n v="4"/>
    <s v=""/>
    <s v="Apr"/>
  </r>
  <r>
    <n v="1045"/>
    <x v="7"/>
    <x v="0"/>
    <x v="0"/>
    <n v="2"/>
    <n v="3000"/>
    <x v="0"/>
    <x v="0"/>
    <n v="6000"/>
    <n v="4"/>
    <s v=""/>
    <s v="Apr"/>
  </r>
  <r>
    <n v="1004"/>
    <x v="8"/>
    <x v="1"/>
    <x v="0"/>
    <n v="5"/>
    <n v="1500"/>
    <x v="2"/>
    <x v="2"/>
    <n v="7500"/>
    <n v="1"/>
    <s v=""/>
    <s v="Jan"/>
  </r>
  <r>
    <n v="1009"/>
    <x v="9"/>
    <x v="1"/>
    <x v="0"/>
    <n v="5"/>
    <n v="1500"/>
    <x v="0"/>
    <x v="0"/>
    <n v="7500"/>
    <n v="2"/>
    <s v=""/>
    <s v="Feb"/>
  </r>
  <r>
    <n v="1029"/>
    <x v="10"/>
    <x v="1"/>
    <x v="0"/>
    <n v="5"/>
    <n v="1500"/>
    <x v="0"/>
    <x v="0"/>
    <n v="7500"/>
    <n v="3"/>
    <s v=""/>
    <s v="Mar"/>
  </r>
  <r>
    <n v="1044"/>
    <x v="11"/>
    <x v="1"/>
    <x v="0"/>
    <n v="5"/>
    <n v="1500"/>
    <x v="2"/>
    <x v="2"/>
    <n v="7500"/>
    <n v="4"/>
    <s v=""/>
    <s v="Apr"/>
  </r>
  <r>
    <n v="1049"/>
    <x v="12"/>
    <x v="1"/>
    <x v="0"/>
    <n v="5"/>
    <n v="1500"/>
    <x v="0"/>
    <x v="0"/>
    <n v="7500"/>
    <n v="4"/>
    <s v=""/>
    <s v="Apr"/>
  </r>
  <r>
    <n v="1010"/>
    <x v="13"/>
    <x v="0"/>
    <x v="0"/>
    <n v="3"/>
    <n v="3000"/>
    <x v="3"/>
    <x v="3"/>
    <n v="9000"/>
    <n v="2"/>
    <s v=""/>
    <s v="Feb"/>
  </r>
  <r>
    <n v="1014"/>
    <x v="14"/>
    <x v="1"/>
    <x v="0"/>
    <n v="6"/>
    <n v="1500"/>
    <x v="3"/>
    <x v="4"/>
    <n v="9000"/>
    <n v="2"/>
    <s v=""/>
    <s v="Feb"/>
  </r>
  <r>
    <n v="1020"/>
    <x v="15"/>
    <x v="0"/>
    <x v="0"/>
    <n v="3"/>
    <n v="3000"/>
    <x v="2"/>
    <x v="2"/>
    <n v="9000"/>
    <n v="2"/>
    <s v=""/>
    <s v="Feb"/>
  </r>
  <r>
    <n v="1030"/>
    <x v="16"/>
    <x v="0"/>
    <x v="0"/>
    <n v="3"/>
    <n v="3000"/>
    <x v="3"/>
    <x v="4"/>
    <n v="9000"/>
    <n v="3"/>
    <s v=""/>
    <s v="Mar"/>
  </r>
  <r>
    <n v="1034"/>
    <x v="17"/>
    <x v="1"/>
    <x v="0"/>
    <n v="6"/>
    <n v="1500"/>
    <x v="3"/>
    <x v="4"/>
    <n v="9000"/>
    <n v="3"/>
    <s v=""/>
    <s v="Mar"/>
  </r>
  <r>
    <n v="1040"/>
    <x v="18"/>
    <x v="0"/>
    <x v="0"/>
    <n v="3"/>
    <n v="3000"/>
    <x v="2"/>
    <x v="2"/>
    <n v="9000"/>
    <n v="4"/>
    <s v=""/>
    <s v="Apr"/>
  </r>
  <r>
    <n v="1050"/>
    <x v="19"/>
    <x v="0"/>
    <x v="0"/>
    <n v="3"/>
    <n v="3000"/>
    <x v="3"/>
    <x v="4"/>
    <n v="9000"/>
    <n v="4"/>
    <s v=""/>
    <s v="Apr"/>
  </r>
  <r>
    <n v="1006"/>
    <x v="20"/>
    <x v="2"/>
    <x v="1"/>
    <n v="1"/>
    <n v="12000"/>
    <x v="3"/>
    <x v="4"/>
    <n v="12000"/>
    <n v="1"/>
    <s v=""/>
    <s v="Jan"/>
  </r>
  <r>
    <n v="1008"/>
    <x v="21"/>
    <x v="3"/>
    <x v="1"/>
    <n v="2"/>
    <n v="6000"/>
    <x v="2"/>
    <x v="2"/>
    <n v="12000"/>
    <n v="1"/>
    <s v=""/>
    <s v="Jan"/>
  </r>
  <r>
    <n v="1016"/>
    <x v="22"/>
    <x v="2"/>
    <x v="1"/>
    <n v="1"/>
    <n v="12000"/>
    <x v="2"/>
    <x v="2"/>
    <n v="12000"/>
    <n v="2"/>
    <s v=""/>
    <s v="Feb"/>
  </r>
  <r>
    <n v="1018"/>
    <x v="23"/>
    <x v="3"/>
    <x v="1"/>
    <n v="2"/>
    <n v="6000"/>
    <x v="3"/>
    <x v="4"/>
    <n v="12000"/>
    <n v="2"/>
    <s v=""/>
    <s v="Feb"/>
  </r>
  <r>
    <n v="1026"/>
    <x v="24"/>
    <x v="2"/>
    <x v="1"/>
    <n v="1"/>
    <n v="12000"/>
    <x v="3"/>
    <x v="4"/>
    <n v="12000"/>
    <n v="3"/>
    <s v=""/>
    <s v="Mar"/>
  </r>
  <r>
    <n v="1028"/>
    <x v="25"/>
    <x v="3"/>
    <x v="1"/>
    <n v="2"/>
    <n v="6000"/>
    <x v="2"/>
    <x v="2"/>
    <n v="12000"/>
    <n v="3"/>
    <s v=""/>
    <s v="Mar"/>
  </r>
  <r>
    <n v="1036"/>
    <x v="26"/>
    <x v="2"/>
    <x v="1"/>
    <n v="1"/>
    <n v="12000"/>
    <x v="2"/>
    <x v="2"/>
    <n v="12000"/>
    <n v="4"/>
    <s v=""/>
    <s v="Apr"/>
  </r>
  <r>
    <n v="1038"/>
    <x v="27"/>
    <x v="3"/>
    <x v="1"/>
    <n v="2"/>
    <n v="6000"/>
    <x v="3"/>
    <x v="4"/>
    <n v="12000"/>
    <n v="4"/>
    <s v=""/>
    <s v="Apr"/>
  </r>
  <r>
    <n v="1046"/>
    <x v="28"/>
    <x v="2"/>
    <x v="1"/>
    <n v="1"/>
    <n v="12000"/>
    <x v="3"/>
    <x v="3"/>
    <n v="12000"/>
    <n v="4"/>
    <s v=""/>
    <s v="Apr"/>
  </r>
  <r>
    <n v="1048"/>
    <x v="29"/>
    <x v="3"/>
    <x v="1"/>
    <n v="2"/>
    <n v="6000"/>
    <x v="2"/>
    <x v="2"/>
    <n v="12000"/>
    <n v="4"/>
    <s v=""/>
    <s v="Apr"/>
  </r>
  <r>
    <n v="1003"/>
    <x v="30"/>
    <x v="3"/>
    <x v="1"/>
    <n v="3"/>
    <n v="6000"/>
    <x v="1"/>
    <x v="1"/>
    <n v="18000"/>
    <n v="1"/>
    <s v=""/>
    <s v="Jan"/>
  </r>
  <r>
    <n v="1013"/>
    <x v="31"/>
    <x v="3"/>
    <x v="1"/>
    <n v="3"/>
    <n v="6000"/>
    <x v="0"/>
    <x v="0"/>
    <n v="18000"/>
    <n v="2"/>
    <s v=""/>
    <s v="Feb"/>
  </r>
  <r>
    <n v="1023"/>
    <x v="32"/>
    <x v="3"/>
    <x v="1"/>
    <n v="3"/>
    <n v="6000"/>
    <x v="1"/>
    <x v="1"/>
    <n v="18000"/>
    <n v="3"/>
    <s v=""/>
    <s v="Mar"/>
  </r>
  <r>
    <n v="1033"/>
    <x v="33"/>
    <x v="3"/>
    <x v="1"/>
    <n v="3"/>
    <n v="6000"/>
    <x v="0"/>
    <x v="0"/>
    <n v="18000"/>
    <n v="3"/>
    <s v=""/>
    <s v="Mar"/>
  </r>
  <r>
    <n v="1043"/>
    <x v="34"/>
    <x v="3"/>
    <x v="1"/>
    <n v="3"/>
    <n v="6000"/>
    <x v="1"/>
    <x v="1"/>
    <n v="18000"/>
    <n v="4"/>
    <s v=""/>
    <s v="Apr"/>
  </r>
  <r>
    <n v="1001"/>
    <x v="35"/>
    <x v="2"/>
    <x v="1"/>
    <n v="2"/>
    <n v="12000"/>
    <x v="0"/>
    <x v="0"/>
    <n v="24000"/>
    <n v="1"/>
    <s v=""/>
    <s v="Jan"/>
  </r>
  <r>
    <n v="1011"/>
    <x v="36"/>
    <x v="2"/>
    <x v="1"/>
    <n v="2"/>
    <n v="12000"/>
    <x v="1"/>
    <x v="1"/>
    <n v="24000"/>
    <n v="2"/>
    <s v=""/>
    <s v="Feb"/>
  </r>
  <r>
    <n v="1021"/>
    <x v="37"/>
    <x v="2"/>
    <x v="1"/>
    <n v="2"/>
    <n v="12000"/>
    <x v="0"/>
    <x v="0"/>
    <n v="24000"/>
    <n v="3"/>
    <s v=""/>
    <s v="Mar"/>
  </r>
  <r>
    <n v="1031"/>
    <x v="38"/>
    <x v="2"/>
    <x v="1"/>
    <n v="2"/>
    <n v="12000"/>
    <x v="1"/>
    <x v="1"/>
    <n v="24000"/>
    <n v="3"/>
    <s v=""/>
    <s v="Mar"/>
  </r>
  <r>
    <n v="1041"/>
    <x v="39"/>
    <x v="2"/>
    <x v="1"/>
    <n v="2"/>
    <n v="12000"/>
    <x v="0"/>
    <x v="0"/>
    <n v="24000"/>
    <n v="4"/>
    <s v=""/>
    <s v="Apr"/>
  </r>
  <r>
    <n v="1012"/>
    <x v="40"/>
    <x v="4"/>
    <x v="1"/>
    <n v="4"/>
    <n v="8000"/>
    <x v="2"/>
    <x v="2"/>
    <n v="32000"/>
    <n v="2"/>
    <s v=""/>
    <s v="Feb"/>
  </r>
  <r>
    <n v="1032"/>
    <x v="41"/>
    <x v="4"/>
    <x v="1"/>
    <n v="4"/>
    <n v="8000"/>
    <x v="2"/>
    <x v="2"/>
    <n v="32000"/>
    <n v="3"/>
    <s v=""/>
    <s v="Mar"/>
  </r>
  <r>
    <n v="1002"/>
    <x v="42"/>
    <x v="4"/>
    <x v="1"/>
    <n v="5"/>
    <n v="8000"/>
    <x v="3"/>
    <x v="4"/>
    <n v="40000"/>
    <n v="1"/>
    <s v=""/>
    <s v="Jan"/>
  </r>
  <r>
    <n v="1022"/>
    <x v="43"/>
    <x v="4"/>
    <x v="1"/>
    <n v="5"/>
    <n v="8000"/>
    <x v="3"/>
    <x v="4"/>
    <n v="40000"/>
    <n v="3"/>
    <s v=""/>
    <s v="Mar"/>
  </r>
  <r>
    <n v="1042"/>
    <x v="44"/>
    <x v="4"/>
    <x v="1"/>
    <n v="5"/>
    <n v="8000"/>
    <x v="3"/>
    <x v="4"/>
    <n v="40000"/>
    <n v="4"/>
    <s v=""/>
    <s v="Apr"/>
  </r>
  <r>
    <n v="1007"/>
    <x v="45"/>
    <x v="4"/>
    <x v="1"/>
    <n v="6"/>
    <n v="8000"/>
    <x v="1"/>
    <x v="1"/>
    <n v="48000"/>
    <n v="1"/>
    <s v=""/>
    <s v="Jan"/>
  </r>
  <r>
    <n v="1027"/>
    <x v="46"/>
    <x v="4"/>
    <x v="1"/>
    <n v="6"/>
    <n v="8000"/>
    <x v="1"/>
    <x v="1"/>
    <n v="48000"/>
    <n v="3"/>
    <s v=""/>
    <s v="Mar"/>
  </r>
  <r>
    <n v="1047"/>
    <x v="47"/>
    <x v="4"/>
    <x v="1"/>
    <n v="6"/>
    <n v="8000"/>
    <x v="1"/>
    <x v="1"/>
    <n v="48000"/>
    <n v="4"/>
    <s v=""/>
    <s v="Apr"/>
  </r>
  <r>
    <n v="1017"/>
    <x v="48"/>
    <x v="4"/>
    <x v="1"/>
    <n v="7"/>
    <n v="8000"/>
    <x v="0"/>
    <x v="0"/>
    <n v="56000"/>
    <n v="2"/>
    <s v=""/>
    <s v="Feb"/>
  </r>
  <r>
    <n v="1037"/>
    <x v="49"/>
    <x v="4"/>
    <x v="1"/>
    <n v="7"/>
    <n v="8000"/>
    <x v="0"/>
    <x v="0"/>
    <n v="56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months">
  <location ref="A31:C36"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Product">
  <location ref="A19:C2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axis="axisRow" showAll="0">
      <items count="6">
        <item x="1"/>
        <item x="0"/>
        <item x="2"/>
        <item x="4"/>
        <item x="3"/>
        <item t="default"/>
      </items>
    </pivotField>
    <pivotField showAll="0">
      <items count="3">
        <item x="1"/>
        <item x="0"/>
        <item t="default"/>
      </items>
    </pivotField>
    <pivotField showAll="0"/>
    <pivotField showAll="0"/>
    <pivotField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rowHeaderCaption="Region">
  <location ref="A3:C8"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axis="axisRow" showAll="0">
      <items count="5">
        <item x="1"/>
        <item x="0"/>
        <item x="3"/>
        <item x="2"/>
        <item t="default"/>
      </items>
    </pivotField>
    <pivotField showAll="0">
      <items count="6">
        <item x="1"/>
        <item x="0"/>
        <item x="4"/>
        <item x="2"/>
        <item x="3"/>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1">
      <pivotAreas count="1">
        <pivotArea type="data" outline="0" collapsedLevelsAreSubtotals="1" fieldPosition="0">
          <references count="1">
            <reference field="4294967294" count="1" selected="0">
              <x v="1"/>
            </reference>
          </references>
        </pivotArea>
      </pivotAreas>
    </conditionalFormat>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Salesperson">
  <location ref="A39:C45" firstHeaderRow="0" firstDataRow="1" firstDataCol="1"/>
  <pivotFields count="14">
    <pivotField showAll="0"/>
    <pivotField numFmtId="14" showAll="0">
      <items count="51">
        <item x="35"/>
        <item x="42"/>
        <item x="30"/>
        <item x="8"/>
        <item x="0"/>
        <item x="20"/>
        <item x="45"/>
        <item x="21"/>
        <item x="9"/>
        <item x="13"/>
        <item x="36"/>
        <item x="40"/>
        <item x="31"/>
        <item x="14"/>
        <item x="1"/>
        <item x="22"/>
        <item x="48"/>
        <item x="23"/>
        <item x="2"/>
        <item x="15"/>
        <item x="37"/>
        <item x="43"/>
        <item x="32"/>
        <item x="3"/>
        <item x="4"/>
        <item x="24"/>
        <item x="46"/>
        <item x="25"/>
        <item x="10"/>
        <item x="16"/>
        <item x="38"/>
        <item x="41"/>
        <item x="33"/>
        <item x="17"/>
        <item x="5"/>
        <item x="26"/>
        <item x="49"/>
        <item x="27"/>
        <item x="6"/>
        <item x="18"/>
        <item x="39"/>
        <item x="44"/>
        <item x="34"/>
        <item x="11"/>
        <item x="7"/>
        <item x="28"/>
        <item x="47"/>
        <item x="29"/>
        <item x="12"/>
        <item x="19"/>
        <item t="default"/>
      </items>
    </pivotField>
    <pivotField showAll="0">
      <items count="6">
        <item x="1"/>
        <item x="0"/>
        <item x="2"/>
        <item x="4"/>
        <item x="3"/>
        <item t="default"/>
      </items>
    </pivotField>
    <pivotField showAll="0"/>
    <pivotField showAll="0"/>
    <pivotField showAll="0"/>
    <pivotField showAll="0">
      <items count="5">
        <item x="1"/>
        <item x="0"/>
        <item x="3"/>
        <item x="2"/>
        <item t="default"/>
      </items>
    </pivotField>
    <pivotField axis="axisRow" showAll="0" sortType="descending">
      <items count="6">
        <item x="3"/>
        <item x="2"/>
        <item x="4"/>
        <item x="0"/>
        <item x="1"/>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254">
      <pivotArea collapsedLevelsAreSubtotals="1" fieldPosition="0">
        <references count="1">
          <reference field="7" count="0"/>
        </references>
      </pivotArea>
    </format>
    <format dxfId="253">
      <pivotArea field="7" type="button" dataOnly="0" labelOnly="1" outline="0" axis="axisRow" fieldPosition="0"/>
    </format>
    <format dxfId="252">
      <pivotArea dataOnly="0" labelOnly="1" fieldPosition="0">
        <references count="1">
          <reference field="7" count="0"/>
        </references>
      </pivotArea>
    </format>
    <format dxfId="251">
      <pivotArea dataOnly="0" labelOnly="1" outline="0" axis="axisValues" fieldPosition="0"/>
    </format>
    <format dxfId="250">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2"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7" unboundColumnsRight="1">
    <queryTableFields count="12">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6" name="Column1" tableColumnId="10"/>
      <queryTableField id="13" dataBound="0" tableColumnId="12"/>
    </queryTableFields>
    <queryTableDeletedFields count="2">
      <deletedField name="Column1"/>
      <deletedField name="Column1"/>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1" s="1"/>
        <i x="0" s="1"/>
        <i x="3"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1" s="1"/>
        <i x="0" s="1"/>
        <i x="2" s="1"/>
        <i x="4"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1" s="1"/>
        <i x="0" s="1"/>
        <i x="4"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1" rowHeight="540000"/>
  <slicer name="product 2" xr10:uid="{1786D0E2-B6B9-4DBD-8044-C114C08C1B54}" cache="Slicer_product" caption="Product" columnCount="2" style="SlicerStyleDark1" rowHeight="540000"/>
  <slicer name="Months (date) 2" xr10:uid="{84B0B475-C360-49E5-A6D9-10F845FA7715}" cache="Slicer_Months__date" caption="Months" columnCount="2" style="SlicerStyleDark1" rowHeight="540000"/>
  <slicer name="salesperson 2" xr10:uid="{8174B063-262C-486B-A89C-E6162DC6A2FD}" cache="Slicer_salesperson" caption="Salesperson" columnCount="2" style="SlicerStyleDark1" rowHeight="54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267"/>
    <tableColumn id="3" xr3:uid="{04AD1025-2135-4F4F-9F0A-BD14BBCDD319}" uniqueName="3" name="product" queryTableFieldId="3" dataDxfId="266"/>
    <tableColumn id="4" xr3:uid="{98C51436-CFA6-4268-A529-439207B89C63}" uniqueName="4" name="category" queryTableFieldId="4" dataDxfId="265"/>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264"/>
    <tableColumn id="8" xr3:uid="{5A54056D-462C-44FD-949A-DAC70D24059B}" uniqueName="8" name="salesperson" queryTableFieldId="8" dataDxfId="26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L52" tableType="queryTable" totalsRowCount="1">
  <autoFilter ref="A1:L51" xr:uid="{EADAA63C-98AD-4D8E-982C-DF9B214F944A}"/>
  <sortState xmlns:xlrd2="http://schemas.microsoft.com/office/spreadsheetml/2017/richdata2" ref="A2:L51">
    <sortCondition ref="I1:I51"/>
  </sortState>
  <tableColumns count="12">
    <tableColumn id="1" xr3:uid="{B927D107-0BC2-4780-B57B-EED0C627C19A}" uniqueName="1" name="transaction_id" queryTableFieldId="1"/>
    <tableColumn id="2" xr3:uid="{B05E22E3-82EA-486F-9F41-C1AFF85F0633}" uniqueName="2" name="date" queryTableFieldId="2" dataDxfId="262" totalsRowDxfId="261"/>
    <tableColumn id="3" xr3:uid="{88CCCAEC-E84F-4D69-A8F9-36816A59F3C0}" uniqueName="3" name="product" queryTableFieldId="3" dataDxfId="260"/>
    <tableColumn id="4" xr3:uid="{C9FFD244-7AF7-4C69-BD44-481964ECA3E0}" uniqueName="4" name="category" queryTableFieldId="4" dataDxfId="259"/>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258"/>
    <tableColumn id="8" xr3:uid="{A520CC5C-DF20-4C8D-90E4-3A2EF105BA27}" uniqueName="8" name="salesperson" queryTableFieldId="8" dataDxfId="257"/>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0" xr3:uid="{19C933AD-008D-4424-83D0-42A69D8FE9EC}" uniqueName="10" name="Column1" queryTableFieldId="16" dataDxfId="256"/>
    <tableColumn id="12" xr3:uid="{968BA1E9-AFDA-44E9-9B0C-D8F197199922}" uniqueName="12" name="months" queryTableFieldId="13" dataDxfId="255">
      <calculatedColumnFormula>TEXT(B2, "mmm")</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workbookViewId="0">
      <selection activeCell="A6" sqref="A6"/>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2"/>
  <sheetViews>
    <sheetView topLeftCell="A2" workbookViewId="0">
      <selection activeCell="A5" sqref="A5"/>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10.6640625" hidden="1" customWidth="1"/>
    <col min="12" max="13" width="9.44140625" bestFit="1" customWidth="1"/>
    <col min="14" max="14" width="12.109375" bestFit="1" customWidth="1"/>
  </cols>
  <sheetData>
    <row r="1" spans="1:12" x14ac:dyDescent="0.3">
      <c r="A1" t="s">
        <v>0</v>
      </c>
      <c r="B1" t="s">
        <v>1</v>
      </c>
      <c r="C1" t="s">
        <v>2</v>
      </c>
      <c r="D1" t="s">
        <v>3</v>
      </c>
      <c r="E1" t="s">
        <v>4</v>
      </c>
      <c r="F1" t="s">
        <v>5</v>
      </c>
      <c r="G1" t="s">
        <v>6</v>
      </c>
      <c r="H1" t="s">
        <v>7</v>
      </c>
      <c r="I1" t="s">
        <v>8</v>
      </c>
      <c r="J1" t="s">
        <v>9</v>
      </c>
      <c r="K1" t="s">
        <v>38</v>
      </c>
      <c r="L1" t="s">
        <v>34</v>
      </c>
    </row>
    <row r="2" spans="1:12" x14ac:dyDescent="0.3">
      <c r="A2">
        <v>1005</v>
      </c>
      <c r="B2" s="1">
        <v>45311</v>
      </c>
      <c r="C2" t="s">
        <v>24</v>
      </c>
      <c r="D2" t="s">
        <v>21</v>
      </c>
      <c r="E2">
        <v>2</v>
      </c>
      <c r="F2">
        <v>3000</v>
      </c>
      <c r="G2" t="s">
        <v>12</v>
      </c>
      <c r="H2" t="s">
        <v>13</v>
      </c>
      <c r="I2">
        <v>6000</v>
      </c>
      <c r="J2">
        <v>1</v>
      </c>
      <c r="K2" t="s">
        <v>36</v>
      </c>
      <c r="L2" t="str">
        <f t="shared" ref="L2:L33" si="0">TEXT(B2, "mmm")</f>
        <v>Jan</v>
      </c>
    </row>
    <row r="3" spans="1:12" x14ac:dyDescent="0.3">
      <c r="A3">
        <v>1015</v>
      </c>
      <c r="B3" s="1">
        <v>45337</v>
      </c>
      <c r="C3" t="s">
        <v>24</v>
      </c>
      <c r="D3" t="s">
        <v>21</v>
      </c>
      <c r="E3">
        <v>2</v>
      </c>
      <c r="F3">
        <v>3000</v>
      </c>
      <c r="G3" t="s">
        <v>18</v>
      </c>
      <c r="H3" t="s">
        <v>19</v>
      </c>
      <c r="I3">
        <v>6000</v>
      </c>
      <c r="J3">
        <v>2</v>
      </c>
      <c r="K3" t="s">
        <v>36</v>
      </c>
      <c r="L3" t="str">
        <f t="shared" si="0"/>
        <v>Feb</v>
      </c>
    </row>
    <row r="4" spans="1:12" x14ac:dyDescent="0.3">
      <c r="A4">
        <v>1019</v>
      </c>
      <c r="B4" s="1">
        <v>45347</v>
      </c>
      <c r="C4" t="s">
        <v>20</v>
      </c>
      <c r="D4" t="s">
        <v>21</v>
      </c>
      <c r="E4">
        <v>4</v>
      </c>
      <c r="F4">
        <v>1500</v>
      </c>
      <c r="G4" t="s">
        <v>18</v>
      </c>
      <c r="H4" t="s">
        <v>19</v>
      </c>
      <c r="I4">
        <v>6000</v>
      </c>
      <c r="J4">
        <v>2</v>
      </c>
      <c r="K4" t="s">
        <v>36</v>
      </c>
      <c r="L4" t="str">
        <f t="shared" si="0"/>
        <v>Feb</v>
      </c>
    </row>
    <row r="5" spans="1:12" x14ac:dyDescent="0.3">
      <c r="A5">
        <v>1024</v>
      </c>
      <c r="B5" s="1">
        <v>45359</v>
      </c>
      <c r="C5" t="s">
        <v>20</v>
      </c>
      <c r="D5" t="s">
        <v>21</v>
      </c>
      <c r="E5">
        <v>4</v>
      </c>
      <c r="F5">
        <v>1500</v>
      </c>
      <c r="G5" t="s">
        <v>22</v>
      </c>
      <c r="H5" t="s">
        <v>23</v>
      </c>
      <c r="I5">
        <v>6000</v>
      </c>
      <c r="J5">
        <v>3</v>
      </c>
      <c r="K5" t="s">
        <v>36</v>
      </c>
      <c r="L5" t="str">
        <f t="shared" si="0"/>
        <v>Mar</v>
      </c>
    </row>
    <row r="6" spans="1:12" x14ac:dyDescent="0.3">
      <c r="A6">
        <v>1025</v>
      </c>
      <c r="B6" s="1">
        <v>45361</v>
      </c>
      <c r="C6" t="s">
        <v>24</v>
      </c>
      <c r="D6" t="s">
        <v>21</v>
      </c>
      <c r="E6">
        <v>2</v>
      </c>
      <c r="F6">
        <v>3000</v>
      </c>
      <c r="G6" t="s">
        <v>12</v>
      </c>
      <c r="H6" t="s">
        <v>13</v>
      </c>
      <c r="I6">
        <v>6000</v>
      </c>
      <c r="J6">
        <v>3</v>
      </c>
      <c r="K6" t="s">
        <v>36</v>
      </c>
      <c r="L6" t="str">
        <f t="shared" si="0"/>
        <v>Mar</v>
      </c>
    </row>
    <row r="7" spans="1:12" x14ac:dyDescent="0.3">
      <c r="A7">
        <v>1035</v>
      </c>
      <c r="B7" s="1">
        <v>45381</v>
      </c>
      <c r="C7" t="s">
        <v>24</v>
      </c>
      <c r="D7" t="s">
        <v>21</v>
      </c>
      <c r="E7">
        <v>2</v>
      </c>
      <c r="F7">
        <v>3000</v>
      </c>
      <c r="G7" t="s">
        <v>18</v>
      </c>
      <c r="H7" t="s">
        <v>19</v>
      </c>
      <c r="I7">
        <v>6000</v>
      </c>
      <c r="J7">
        <v>3</v>
      </c>
      <c r="K7" t="s">
        <v>36</v>
      </c>
      <c r="L7" t="str">
        <f t="shared" si="0"/>
        <v>Mar</v>
      </c>
    </row>
    <row r="8" spans="1:12" x14ac:dyDescent="0.3">
      <c r="A8">
        <v>1039</v>
      </c>
      <c r="B8" s="1">
        <v>45390</v>
      </c>
      <c r="C8" t="s">
        <v>20</v>
      </c>
      <c r="D8" t="s">
        <v>21</v>
      </c>
      <c r="E8">
        <v>4</v>
      </c>
      <c r="F8">
        <v>1500</v>
      </c>
      <c r="G8" t="s">
        <v>18</v>
      </c>
      <c r="H8" t="s">
        <v>19</v>
      </c>
      <c r="I8">
        <v>6000</v>
      </c>
      <c r="J8">
        <v>4</v>
      </c>
      <c r="K8" t="s">
        <v>36</v>
      </c>
      <c r="L8" t="str">
        <f t="shared" si="0"/>
        <v>Apr</v>
      </c>
    </row>
    <row r="9" spans="1:12" x14ac:dyDescent="0.3">
      <c r="A9">
        <v>1045</v>
      </c>
      <c r="B9" s="1">
        <v>45402</v>
      </c>
      <c r="C9" t="s">
        <v>24</v>
      </c>
      <c r="D9" t="s">
        <v>21</v>
      </c>
      <c r="E9">
        <v>2</v>
      </c>
      <c r="F9">
        <v>3000</v>
      </c>
      <c r="G9" t="s">
        <v>12</v>
      </c>
      <c r="H9" t="s">
        <v>13</v>
      </c>
      <c r="I9">
        <v>6000</v>
      </c>
      <c r="J9">
        <v>4</v>
      </c>
      <c r="K9" t="s">
        <v>36</v>
      </c>
      <c r="L9" t="str">
        <f t="shared" si="0"/>
        <v>Apr</v>
      </c>
    </row>
    <row r="10" spans="1:12" x14ac:dyDescent="0.3">
      <c r="A10">
        <v>1004</v>
      </c>
      <c r="B10" s="1">
        <v>45306</v>
      </c>
      <c r="C10" t="s">
        <v>20</v>
      </c>
      <c r="D10" t="s">
        <v>21</v>
      </c>
      <c r="E10">
        <v>5</v>
      </c>
      <c r="F10">
        <v>1500</v>
      </c>
      <c r="G10" t="s">
        <v>22</v>
      </c>
      <c r="H10" t="s">
        <v>23</v>
      </c>
      <c r="I10">
        <v>7500</v>
      </c>
      <c r="J10">
        <v>1</v>
      </c>
      <c r="K10" t="s">
        <v>36</v>
      </c>
      <c r="L10" t="str">
        <f t="shared" si="0"/>
        <v>Jan</v>
      </c>
    </row>
    <row r="11" spans="1:12" x14ac:dyDescent="0.3">
      <c r="A11">
        <v>1009</v>
      </c>
      <c r="B11" s="1">
        <v>45323</v>
      </c>
      <c r="C11" t="s">
        <v>20</v>
      </c>
      <c r="D11" t="s">
        <v>21</v>
      </c>
      <c r="E11">
        <v>5</v>
      </c>
      <c r="F11">
        <v>1500</v>
      </c>
      <c r="G11" t="s">
        <v>12</v>
      </c>
      <c r="H11" t="s">
        <v>13</v>
      </c>
      <c r="I11">
        <v>7500</v>
      </c>
      <c r="J11">
        <v>2</v>
      </c>
      <c r="K11" t="s">
        <v>36</v>
      </c>
      <c r="L11" t="str">
        <f t="shared" si="0"/>
        <v>Feb</v>
      </c>
    </row>
    <row r="12" spans="1:12" x14ac:dyDescent="0.3">
      <c r="A12">
        <v>1029</v>
      </c>
      <c r="B12" s="1">
        <v>45369</v>
      </c>
      <c r="C12" t="s">
        <v>20</v>
      </c>
      <c r="D12" t="s">
        <v>21</v>
      </c>
      <c r="E12">
        <v>5</v>
      </c>
      <c r="F12">
        <v>1500</v>
      </c>
      <c r="G12" t="s">
        <v>12</v>
      </c>
      <c r="H12" t="s">
        <v>13</v>
      </c>
      <c r="I12">
        <v>7500</v>
      </c>
      <c r="J12">
        <v>3</v>
      </c>
      <c r="K12" t="s">
        <v>36</v>
      </c>
      <c r="L12" t="str">
        <f t="shared" si="0"/>
        <v>Mar</v>
      </c>
    </row>
    <row r="13" spans="1:12" x14ac:dyDescent="0.3">
      <c r="A13">
        <v>1044</v>
      </c>
      <c r="B13" s="1">
        <v>45400</v>
      </c>
      <c r="C13" t="s">
        <v>20</v>
      </c>
      <c r="D13" t="s">
        <v>21</v>
      </c>
      <c r="E13">
        <v>5</v>
      </c>
      <c r="F13">
        <v>1500</v>
      </c>
      <c r="G13" t="s">
        <v>22</v>
      </c>
      <c r="H13" t="s">
        <v>23</v>
      </c>
      <c r="I13">
        <v>7500</v>
      </c>
      <c r="J13">
        <v>4</v>
      </c>
      <c r="K13" t="s">
        <v>36</v>
      </c>
      <c r="L13" t="str">
        <f t="shared" si="0"/>
        <v>Apr</v>
      </c>
    </row>
    <row r="14" spans="1:12" x14ac:dyDescent="0.3">
      <c r="A14">
        <v>1049</v>
      </c>
      <c r="B14" s="1">
        <v>45410</v>
      </c>
      <c r="C14" t="s">
        <v>20</v>
      </c>
      <c r="D14" t="s">
        <v>21</v>
      </c>
      <c r="E14">
        <v>5</v>
      </c>
      <c r="F14">
        <v>1500</v>
      </c>
      <c r="G14" t="s">
        <v>12</v>
      </c>
      <c r="H14" t="s">
        <v>13</v>
      </c>
      <c r="I14">
        <v>7500</v>
      </c>
      <c r="J14">
        <v>4</v>
      </c>
      <c r="K14" t="s">
        <v>36</v>
      </c>
      <c r="L14" t="str">
        <f t="shared" si="0"/>
        <v>Apr</v>
      </c>
    </row>
    <row r="15" spans="1:12" x14ac:dyDescent="0.3">
      <c r="A15">
        <v>1010</v>
      </c>
      <c r="B15" s="1">
        <v>45325</v>
      </c>
      <c r="C15" t="s">
        <v>24</v>
      </c>
      <c r="D15" t="s">
        <v>21</v>
      </c>
      <c r="E15">
        <v>3</v>
      </c>
      <c r="F15">
        <v>3000</v>
      </c>
      <c r="G15" t="s">
        <v>15</v>
      </c>
      <c r="H15" t="s">
        <v>25</v>
      </c>
      <c r="I15">
        <v>9000</v>
      </c>
      <c r="J15">
        <v>2</v>
      </c>
      <c r="K15" t="s">
        <v>36</v>
      </c>
      <c r="L15" t="str">
        <f t="shared" si="0"/>
        <v>Feb</v>
      </c>
    </row>
    <row r="16" spans="1:12" x14ac:dyDescent="0.3">
      <c r="A16">
        <v>1014</v>
      </c>
      <c r="B16" s="1">
        <v>45334</v>
      </c>
      <c r="C16" t="s">
        <v>20</v>
      </c>
      <c r="D16" t="s">
        <v>21</v>
      </c>
      <c r="E16">
        <v>6</v>
      </c>
      <c r="F16">
        <v>1500</v>
      </c>
      <c r="G16" t="s">
        <v>15</v>
      </c>
      <c r="H16" t="s">
        <v>16</v>
      </c>
      <c r="I16">
        <v>9000</v>
      </c>
      <c r="J16">
        <v>2</v>
      </c>
      <c r="K16" t="s">
        <v>36</v>
      </c>
      <c r="L16" t="str">
        <f t="shared" si="0"/>
        <v>Feb</v>
      </c>
    </row>
    <row r="17" spans="1:12" x14ac:dyDescent="0.3">
      <c r="A17">
        <v>1020</v>
      </c>
      <c r="B17" s="1">
        <v>45350</v>
      </c>
      <c r="C17" t="s">
        <v>24</v>
      </c>
      <c r="D17" t="s">
        <v>21</v>
      </c>
      <c r="E17">
        <v>3</v>
      </c>
      <c r="F17">
        <v>3000</v>
      </c>
      <c r="G17" t="s">
        <v>22</v>
      </c>
      <c r="H17" t="s">
        <v>23</v>
      </c>
      <c r="I17">
        <v>9000</v>
      </c>
      <c r="J17">
        <v>2</v>
      </c>
      <c r="K17" t="s">
        <v>36</v>
      </c>
      <c r="L17" t="str">
        <f t="shared" si="0"/>
        <v>Feb</v>
      </c>
    </row>
    <row r="18" spans="1:12" x14ac:dyDescent="0.3">
      <c r="A18">
        <v>1030</v>
      </c>
      <c r="B18" s="1">
        <v>45371</v>
      </c>
      <c r="C18" t="s">
        <v>24</v>
      </c>
      <c r="D18" t="s">
        <v>21</v>
      </c>
      <c r="E18">
        <v>3</v>
      </c>
      <c r="F18">
        <v>3000</v>
      </c>
      <c r="G18" t="s">
        <v>15</v>
      </c>
      <c r="H18" t="s">
        <v>16</v>
      </c>
      <c r="I18">
        <v>9000</v>
      </c>
      <c r="J18">
        <v>3</v>
      </c>
      <c r="K18" t="s">
        <v>36</v>
      </c>
      <c r="L18" t="str">
        <f t="shared" si="0"/>
        <v>Mar</v>
      </c>
    </row>
    <row r="19" spans="1:12" x14ac:dyDescent="0.3">
      <c r="A19">
        <v>1034</v>
      </c>
      <c r="B19" s="1">
        <v>45379</v>
      </c>
      <c r="C19" t="s">
        <v>20</v>
      </c>
      <c r="D19" t="s">
        <v>21</v>
      </c>
      <c r="E19">
        <v>6</v>
      </c>
      <c r="F19">
        <v>1500</v>
      </c>
      <c r="G19" t="s">
        <v>15</v>
      </c>
      <c r="H19" t="s">
        <v>16</v>
      </c>
      <c r="I19">
        <v>9000</v>
      </c>
      <c r="J19">
        <v>3</v>
      </c>
      <c r="K19" t="s">
        <v>36</v>
      </c>
      <c r="L19" t="str">
        <f t="shared" si="0"/>
        <v>Mar</v>
      </c>
    </row>
    <row r="20" spans="1:12" x14ac:dyDescent="0.3">
      <c r="A20">
        <v>1040</v>
      </c>
      <c r="B20" s="1">
        <v>45392</v>
      </c>
      <c r="C20" t="s">
        <v>24</v>
      </c>
      <c r="D20" t="s">
        <v>21</v>
      </c>
      <c r="E20">
        <v>3</v>
      </c>
      <c r="F20">
        <v>3000</v>
      </c>
      <c r="G20" t="s">
        <v>22</v>
      </c>
      <c r="H20" t="s">
        <v>23</v>
      </c>
      <c r="I20">
        <v>9000</v>
      </c>
      <c r="J20">
        <v>4</v>
      </c>
      <c r="K20" t="s">
        <v>36</v>
      </c>
      <c r="L20" t="str">
        <f t="shared" si="0"/>
        <v>Apr</v>
      </c>
    </row>
    <row r="21" spans="1:12" x14ac:dyDescent="0.3">
      <c r="A21">
        <v>1050</v>
      </c>
      <c r="B21" s="1">
        <v>45412</v>
      </c>
      <c r="C21" t="s">
        <v>24</v>
      </c>
      <c r="D21" t="s">
        <v>21</v>
      </c>
      <c r="E21">
        <v>3</v>
      </c>
      <c r="F21">
        <v>3000</v>
      </c>
      <c r="G21" t="s">
        <v>15</v>
      </c>
      <c r="H21" t="s">
        <v>16</v>
      </c>
      <c r="I21">
        <v>9000</v>
      </c>
      <c r="J21">
        <v>4</v>
      </c>
      <c r="K21" t="s">
        <v>36</v>
      </c>
      <c r="L21" t="str">
        <f t="shared" si="0"/>
        <v>Apr</v>
      </c>
    </row>
    <row r="22" spans="1:12" x14ac:dyDescent="0.3">
      <c r="A22">
        <v>1006</v>
      </c>
      <c r="B22" s="1">
        <v>45313</v>
      </c>
      <c r="C22" t="s">
        <v>10</v>
      </c>
      <c r="D22" t="s">
        <v>11</v>
      </c>
      <c r="E22">
        <v>1</v>
      </c>
      <c r="F22">
        <v>12000</v>
      </c>
      <c r="G22" t="s">
        <v>15</v>
      </c>
      <c r="H22" t="s">
        <v>16</v>
      </c>
      <c r="I22">
        <v>12000</v>
      </c>
      <c r="J22">
        <v>1</v>
      </c>
      <c r="K22" t="s">
        <v>36</v>
      </c>
      <c r="L22" t="str">
        <f t="shared" si="0"/>
        <v>Jan</v>
      </c>
    </row>
    <row r="23" spans="1:12" x14ac:dyDescent="0.3">
      <c r="A23">
        <v>1008</v>
      </c>
      <c r="B23" s="1">
        <v>45319</v>
      </c>
      <c r="C23" t="s">
        <v>17</v>
      </c>
      <c r="D23" t="s">
        <v>11</v>
      </c>
      <c r="E23">
        <v>2</v>
      </c>
      <c r="F23">
        <v>6000</v>
      </c>
      <c r="G23" t="s">
        <v>22</v>
      </c>
      <c r="H23" t="s">
        <v>23</v>
      </c>
      <c r="I23">
        <v>12000</v>
      </c>
      <c r="J23">
        <v>1</v>
      </c>
      <c r="K23" t="s">
        <v>36</v>
      </c>
      <c r="L23" t="str">
        <f t="shared" si="0"/>
        <v>Jan</v>
      </c>
    </row>
    <row r="24" spans="1:12" x14ac:dyDescent="0.3">
      <c r="A24">
        <v>1016</v>
      </c>
      <c r="B24" s="1">
        <v>45340</v>
      </c>
      <c r="C24" t="s">
        <v>10</v>
      </c>
      <c r="D24" t="s">
        <v>11</v>
      </c>
      <c r="E24">
        <v>1</v>
      </c>
      <c r="F24">
        <v>12000</v>
      </c>
      <c r="G24" t="s">
        <v>22</v>
      </c>
      <c r="H24" t="s">
        <v>23</v>
      </c>
      <c r="I24">
        <v>12000</v>
      </c>
      <c r="J24">
        <v>2</v>
      </c>
      <c r="K24" t="s">
        <v>36</v>
      </c>
      <c r="L24" t="str">
        <f t="shared" si="0"/>
        <v>Feb</v>
      </c>
    </row>
    <row r="25" spans="1:12" x14ac:dyDescent="0.3">
      <c r="A25">
        <v>1018</v>
      </c>
      <c r="B25" s="1">
        <v>45344</v>
      </c>
      <c r="C25" t="s">
        <v>17</v>
      </c>
      <c r="D25" t="s">
        <v>11</v>
      </c>
      <c r="E25">
        <v>2</v>
      </c>
      <c r="F25">
        <v>6000</v>
      </c>
      <c r="G25" t="s">
        <v>15</v>
      </c>
      <c r="H25" t="s">
        <v>16</v>
      </c>
      <c r="I25">
        <v>12000</v>
      </c>
      <c r="J25">
        <v>2</v>
      </c>
      <c r="K25" t="s">
        <v>36</v>
      </c>
      <c r="L25" t="str">
        <f t="shared" si="0"/>
        <v>Feb</v>
      </c>
    </row>
    <row r="26" spans="1:12" x14ac:dyDescent="0.3">
      <c r="A26">
        <v>1026</v>
      </c>
      <c r="B26" s="1">
        <v>45363</v>
      </c>
      <c r="C26" t="s">
        <v>10</v>
      </c>
      <c r="D26" t="s">
        <v>11</v>
      </c>
      <c r="E26">
        <v>1</v>
      </c>
      <c r="F26">
        <v>12000</v>
      </c>
      <c r="G26" t="s">
        <v>15</v>
      </c>
      <c r="H26" t="s">
        <v>16</v>
      </c>
      <c r="I26">
        <v>12000</v>
      </c>
      <c r="J26">
        <v>3</v>
      </c>
      <c r="K26" t="s">
        <v>36</v>
      </c>
      <c r="L26" t="str">
        <f t="shared" si="0"/>
        <v>Mar</v>
      </c>
    </row>
    <row r="27" spans="1:12" x14ac:dyDescent="0.3">
      <c r="A27">
        <v>1028</v>
      </c>
      <c r="B27" s="1">
        <v>45367</v>
      </c>
      <c r="C27" t="s">
        <v>17</v>
      </c>
      <c r="D27" t="s">
        <v>11</v>
      </c>
      <c r="E27">
        <v>2</v>
      </c>
      <c r="F27">
        <v>6000</v>
      </c>
      <c r="G27" t="s">
        <v>22</v>
      </c>
      <c r="H27" t="s">
        <v>23</v>
      </c>
      <c r="I27">
        <v>12000</v>
      </c>
      <c r="J27">
        <v>3</v>
      </c>
      <c r="K27" t="s">
        <v>36</v>
      </c>
      <c r="L27" t="str">
        <f t="shared" si="0"/>
        <v>Mar</v>
      </c>
    </row>
    <row r="28" spans="1:12" x14ac:dyDescent="0.3">
      <c r="A28">
        <v>1036</v>
      </c>
      <c r="B28" s="1">
        <v>45384</v>
      </c>
      <c r="C28" t="s">
        <v>10</v>
      </c>
      <c r="D28" t="s">
        <v>11</v>
      </c>
      <c r="E28">
        <v>1</v>
      </c>
      <c r="F28">
        <v>12000</v>
      </c>
      <c r="G28" t="s">
        <v>22</v>
      </c>
      <c r="H28" t="s">
        <v>23</v>
      </c>
      <c r="I28">
        <v>12000</v>
      </c>
      <c r="J28">
        <v>4</v>
      </c>
      <c r="K28" t="s">
        <v>36</v>
      </c>
      <c r="L28" t="str">
        <f t="shared" si="0"/>
        <v>Apr</v>
      </c>
    </row>
    <row r="29" spans="1:12" x14ac:dyDescent="0.3">
      <c r="A29">
        <v>1038</v>
      </c>
      <c r="B29" s="1">
        <v>45388</v>
      </c>
      <c r="C29" t="s">
        <v>17</v>
      </c>
      <c r="D29" t="s">
        <v>11</v>
      </c>
      <c r="E29">
        <v>2</v>
      </c>
      <c r="F29">
        <v>6000</v>
      </c>
      <c r="G29" t="s">
        <v>15</v>
      </c>
      <c r="H29" t="s">
        <v>16</v>
      </c>
      <c r="I29">
        <v>12000</v>
      </c>
      <c r="J29">
        <v>4</v>
      </c>
      <c r="K29" t="s">
        <v>36</v>
      </c>
      <c r="L29" t="str">
        <f t="shared" si="0"/>
        <v>Apr</v>
      </c>
    </row>
    <row r="30" spans="1:12" x14ac:dyDescent="0.3">
      <c r="A30">
        <v>1046</v>
      </c>
      <c r="B30" s="1">
        <v>45404</v>
      </c>
      <c r="C30" t="s">
        <v>10</v>
      </c>
      <c r="D30" t="s">
        <v>11</v>
      </c>
      <c r="E30">
        <v>1</v>
      </c>
      <c r="F30">
        <v>12000</v>
      </c>
      <c r="G30" t="s">
        <v>15</v>
      </c>
      <c r="H30" t="s">
        <v>25</v>
      </c>
      <c r="I30">
        <v>12000</v>
      </c>
      <c r="J30">
        <v>4</v>
      </c>
      <c r="K30" t="s">
        <v>36</v>
      </c>
      <c r="L30" t="str">
        <f t="shared" si="0"/>
        <v>Apr</v>
      </c>
    </row>
    <row r="31" spans="1:12" x14ac:dyDescent="0.3">
      <c r="A31">
        <v>1048</v>
      </c>
      <c r="B31" s="1">
        <v>45408</v>
      </c>
      <c r="C31" t="s">
        <v>17</v>
      </c>
      <c r="D31" t="s">
        <v>11</v>
      </c>
      <c r="E31">
        <v>2</v>
      </c>
      <c r="F31">
        <v>6000</v>
      </c>
      <c r="G31" t="s">
        <v>22</v>
      </c>
      <c r="H31" t="s">
        <v>23</v>
      </c>
      <c r="I31">
        <v>12000</v>
      </c>
      <c r="J31">
        <v>4</v>
      </c>
      <c r="K31" t="s">
        <v>36</v>
      </c>
      <c r="L31" t="str">
        <f t="shared" si="0"/>
        <v>Apr</v>
      </c>
    </row>
    <row r="32" spans="1:12" x14ac:dyDescent="0.3">
      <c r="A32">
        <v>1003</v>
      </c>
      <c r="B32" s="1">
        <v>45301</v>
      </c>
      <c r="C32" t="s">
        <v>17</v>
      </c>
      <c r="D32" t="s">
        <v>11</v>
      </c>
      <c r="E32">
        <v>3</v>
      </c>
      <c r="F32">
        <v>6000</v>
      </c>
      <c r="G32" t="s">
        <v>18</v>
      </c>
      <c r="H32" t="s">
        <v>19</v>
      </c>
      <c r="I32">
        <v>18000</v>
      </c>
      <c r="J32">
        <v>1</v>
      </c>
      <c r="K32" t="s">
        <v>36</v>
      </c>
      <c r="L32" t="str">
        <f t="shared" si="0"/>
        <v>Jan</v>
      </c>
    </row>
    <row r="33" spans="1:12" x14ac:dyDescent="0.3">
      <c r="A33">
        <v>1013</v>
      </c>
      <c r="B33" s="1">
        <v>45332</v>
      </c>
      <c r="C33" t="s">
        <v>17</v>
      </c>
      <c r="D33" t="s">
        <v>11</v>
      </c>
      <c r="E33">
        <v>3</v>
      </c>
      <c r="F33">
        <v>6000</v>
      </c>
      <c r="G33" t="s">
        <v>12</v>
      </c>
      <c r="H33" t="s">
        <v>13</v>
      </c>
      <c r="I33">
        <v>18000</v>
      </c>
      <c r="J33">
        <v>2</v>
      </c>
      <c r="K33" t="s">
        <v>36</v>
      </c>
      <c r="L33" t="str">
        <f t="shared" si="0"/>
        <v>Feb</v>
      </c>
    </row>
    <row r="34" spans="1:12" x14ac:dyDescent="0.3">
      <c r="A34">
        <v>1023</v>
      </c>
      <c r="B34" s="1">
        <v>45357</v>
      </c>
      <c r="C34" t="s">
        <v>17</v>
      </c>
      <c r="D34" t="s">
        <v>11</v>
      </c>
      <c r="E34">
        <v>3</v>
      </c>
      <c r="F34">
        <v>6000</v>
      </c>
      <c r="G34" t="s">
        <v>18</v>
      </c>
      <c r="H34" t="s">
        <v>19</v>
      </c>
      <c r="I34">
        <v>18000</v>
      </c>
      <c r="J34">
        <v>3</v>
      </c>
      <c r="K34" t="s">
        <v>36</v>
      </c>
      <c r="L34" t="str">
        <f t="shared" ref="L34:L51" si="1">TEXT(B34, "mmm")</f>
        <v>Mar</v>
      </c>
    </row>
    <row r="35" spans="1:12" x14ac:dyDescent="0.3">
      <c r="A35">
        <v>1033</v>
      </c>
      <c r="B35" s="1">
        <v>45377</v>
      </c>
      <c r="C35" t="s">
        <v>17</v>
      </c>
      <c r="D35" t="s">
        <v>11</v>
      </c>
      <c r="E35">
        <v>3</v>
      </c>
      <c r="F35">
        <v>6000</v>
      </c>
      <c r="G35" t="s">
        <v>12</v>
      </c>
      <c r="H35" t="s">
        <v>13</v>
      </c>
      <c r="I35">
        <v>18000</v>
      </c>
      <c r="J35">
        <v>3</v>
      </c>
      <c r="K35" t="s">
        <v>36</v>
      </c>
      <c r="L35" t="str">
        <f t="shared" si="1"/>
        <v>Mar</v>
      </c>
    </row>
    <row r="36" spans="1:12" x14ac:dyDescent="0.3">
      <c r="A36">
        <v>1043</v>
      </c>
      <c r="B36" s="1">
        <v>45398</v>
      </c>
      <c r="C36" t="s">
        <v>17</v>
      </c>
      <c r="D36" t="s">
        <v>11</v>
      </c>
      <c r="E36">
        <v>3</v>
      </c>
      <c r="F36">
        <v>6000</v>
      </c>
      <c r="G36" t="s">
        <v>18</v>
      </c>
      <c r="H36" t="s">
        <v>19</v>
      </c>
      <c r="I36">
        <v>18000</v>
      </c>
      <c r="J36">
        <v>4</v>
      </c>
      <c r="K36" t="s">
        <v>36</v>
      </c>
      <c r="L36" t="str">
        <f t="shared" si="1"/>
        <v>Apr</v>
      </c>
    </row>
    <row r="37" spans="1:12" x14ac:dyDescent="0.3">
      <c r="A37">
        <v>1001</v>
      </c>
      <c r="B37" s="1">
        <v>45296</v>
      </c>
      <c r="C37" t="s">
        <v>10</v>
      </c>
      <c r="D37" t="s">
        <v>11</v>
      </c>
      <c r="E37">
        <v>2</v>
      </c>
      <c r="F37">
        <v>12000</v>
      </c>
      <c r="G37" t="s">
        <v>12</v>
      </c>
      <c r="H37" t="s">
        <v>13</v>
      </c>
      <c r="I37">
        <v>24000</v>
      </c>
      <c r="J37">
        <v>1</v>
      </c>
      <c r="K37" t="s">
        <v>36</v>
      </c>
      <c r="L37" t="str">
        <f t="shared" si="1"/>
        <v>Jan</v>
      </c>
    </row>
    <row r="38" spans="1:12" x14ac:dyDescent="0.3">
      <c r="A38">
        <v>1011</v>
      </c>
      <c r="B38" s="1">
        <v>45327</v>
      </c>
      <c r="C38" t="s">
        <v>10</v>
      </c>
      <c r="D38" t="s">
        <v>11</v>
      </c>
      <c r="E38">
        <v>2</v>
      </c>
      <c r="F38">
        <v>12000</v>
      </c>
      <c r="G38" t="s">
        <v>18</v>
      </c>
      <c r="H38" t="s">
        <v>19</v>
      </c>
      <c r="I38">
        <v>24000</v>
      </c>
      <c r="J38">
        <v>2</v>
      </c>
      <c r="K38" t="s">
        <v>36</v>
      </c>
      <c r="L38" t="str">
        <f t="shared" si="1"/>
        <v>Feb</v>
      </c>
    </row>
    <row r="39" spans="1:12" x14ac:dyDescent="0.3">
      <c r="A39">
        <v>1021</v>
      </c>
      <c r="B39" s="1">
        <v>45353</v>
      </c>
      <c r="C39" t="s">
        <v>10</v>
      </c>
      <c r="D39" t="s">
        <v>11</v>
      </c>
      <c r="E39">
        <v>2</v>
      </c>
      <c r="F39">
        <v>12000</v>
      </c>
      <c r="G39" t="s">
        <v>12</v>
      </c>
      <c r="H39" t="s">
        <v>13</v>
      </c>
      <c r="I39">
        <v>24000</v>
      </c>
      <c r="J39">
        <v>3</v>
      </c>
      <c r="K39" t="s">
        <v>36</v>
      </c>
      <c r="L39" t="str">
        <f t="shared" si="1"/>
        <v>Mar</v>
      </c>
    </row>
    <row r="40" spans="1:12" x14ac:dyDescent="0.3">
      <c r="A40">
        <v>1031</v>
      </c>
      <c r="B40" s="1">
        <v>45373</v>
      </c>
      <c r="C40" t="s">
        <v>10</v>
      </c>
      <c r="D40" t="s">
        <v>11</v>
      </c>
      <c r="E40">
        <v>2</v>
      </c>
      <c r="F40">
        <v>12000</v>
      </c>
      <c r="G40" t="s">
        <v>18</v>
      </c>
      <c r="H40" t="s">
        <v>19</v>
      </c>
      <c r="I40">
        <v>24000</v>
      </c>
      <c r="J40">
        <v>3</v>
      </c>
      <c r="K40" t="s">
        <v>36</v>
      </c>
      <c r="L40" t="str">
        <f t="shared" si="1"/>
        <v>Mar</v>
      </c>
    </row>
    <row r="41" spans="1:12" x14ac:dyDescent="0.3">
      <c r="A41">
        <v>1041</v>
      </c>
      <c r="B41" s="1">
        <v>45394</v>
      </c>
      <c r="C41" t="s">
        <v>10</v>
      </c>
      <c r="D41" t="s">
        <v>11</v>
      </c>
      <c r="E41">
        <v>2</v>
      </c>
      <c r="F41">
        <v>12000</v>
      </c>
      <c r="G41" t="s">
        <v>12</v>
      </c>
      <c r="H41" t="s">
        <v>13</v>
      </c>
      <c r="I41">
        <v>24000</v>
      </c>
      <c r="J41">
        <v>4</v>
      </c>
      <c r="K41" t="s">
        <v>36</v>
      </c>
      <c r="L41" t="str">
        <f t="shared" si="1"/>
        <v>Apr</v>
      </c>
    </row>
    <row r="42" spans="1:12" x14ac:dyDescent="0.3">
      <c r="A42">
        <v>1012</v>
      </c>
      <c r="B42" s="1">
        <v>45329</v>
      </c>
      <c r="C42" t="s">
        <v>14</v>
      </c>
      <c r="D42" t="s">
        <v>11</v>
      </c>
      <c r="E42">
        <v>4</v>
      </c>
      <c r="F42">
        <v>8000</v>
      </c>
      <c r="G42" t="s">
        <v>22</v>
      </c>
      <c r="H42" t="s">
        <v>23</v>
      </c>
      <c r="I42">
        <v>32000</v>
      </c>
      <c r="J42">
        <v>2</v>
      </c>
      <c r="K42" t="s">
        <v>36</v>
      </c>
      <c r="L42" t="str">
        <f t="shared" si="1"/>
        <v>Feb</v>
      </c>
    </row>
    <row r="43" spans="1:12" x14ac:dyDescent="0.3">
      <c r="A43">
        <v>1032</v>
      </c>
      <c r="B43" s="1">
        <v>45375</v>
      </c>
      <c r="C43" t="s">
        <v>14</v>
      </c>
      <c r="D43" t="s">
        <v>11</v>
      </c>
      <c r="E43">
        <v>4</v>
      </c>
      <c r="F43">
        <v>8000</v>
      </c>
      <c r="G43" t="s">
        <v>22</v>
      </c>
      <c r="H43" t="s">
        <v>23</v>
      </c>
      <c r="I43">
        <v>32000</v>
      </c>
      <c r="J43">
        <v>3</v>
      </c>
      <c r="K43" t="s">
        <v>36</v>
      </c>
      <c r="L43" t="str">
        <f t="shared" si="1"/>
        <v>Mar</v>
      </c>
    </row>
    <row r="44" spans="1:12" x14ac:dyDescent="0.3">
      <c r="A44">
        <v>1002</v>
      </c>
      <c r="B44" s="1">
        <v>45298</v>
      </c>
      <c r="C44" t="s">
        <v>14</v>
      </c>
      <c r="D44" t="s">
        <v>11</v>
      </c>
      <c r="E44">
        <v>5</v>
      </c>
      <c r="F44">
        <v>8000</v>
      </c>
      <c r="G44" t="s">
        <v>15</v>
      </c>
      <c r="H44" t="s">
        <v>16</v>
      </c>
      <c r="I44">
        <v>40000</v>
      </c>
      <c r="J44">
        <v>1</v>
      </c>
      <c r="K44" t="s">
        <v>36</v>
      </c>
      <c r="L44" t="str">
        <f t="shared" si="1"/>
        <v>Jan</v>
      </c>
    </row>
    <row r="45" spans="1:12" x14ac:dyDescent="0.3">
      <c r="A45">
        <v>1022</v>
      </c>
      <c r="B45" s="1">
        <v>45355</v>
      </c>
      <c r="C45" t="s">
        <v>14</v>
      </c>
      <c r="D45" t="s">
        <v>11</v>
      </c>
      <c r="E45">
        <v>5</v>
      </c>
      <c r="F45">
        <v>8000</v>
      </c>
      <c r="G45" t="s">
        <v>15</v>
      </c>
      <c r="H45" t="s">
        <v>16</v>
      </c>
      <c r="I45">
        <v>40000</v>
      </c>
      <c r="J45">
        <v>3</v>
      </c>
      <c r="K45" t="s">
        <v>36</v>
      </c>
      <c r="L45" t="str">
        <f t="shared" si="1"/>
        <v>Mar</v>
      </c>
    </row>
    <row r="46" spans="1:12" x14ac:dyDescent="0.3">
      <c r="A46">
        <v>1042</v>
      </c>
      <c r="B46" s="1">
        <v>45396</v>
      </c>
      <c r="C46" t="s">
        <v>14</v>
      </c>
      <c r="D46" t="s">
        <v>11</v>
      </c>
      <c r="E46">
        <v>5</v>
      </c>
      <c r="F46">
        <v>8000</v>
      </c>
      <c r="G46" t="s">
        <v>15</v>
      </c>
      <c r="H46" t="s">
        <v>16</v>
      </c>
      <c r="I46">
        <v>40000</v>
      </c>
      <c r="J46">
        <v>4</v>
      </c>
      <c r="K46" t="s">
        <v>36</v>
      </c>
      <c r="L46" t="str">
        <f t="shared" si="1"/>
        <v>Apr</v>
      </c>
    </row>
    <row r="47" spans="1:12" x14ac:dyDescent="0.3">
      <c r="A47">
        <v>1007</v>
      </c>
      <c r="B47" s="1">
        <v>45316</v>
      </c>
      <c r="C47" t="s">
        <v>14</v>
      </c>
      <c r="D47" t="s">
        <v>11</v>
      </c>
      <c r="E47">
        <v>6</v>
      </c>
      <c r="F47">
        <v>8000</v>
      </c>
      <c r="G47" t="s">
        <v>18</v>
      </c>
      <c r="H47" t="s">
        <v>19</v>
      </c>
      <c r="I47">
        <v>48000</v>
      </c>
      <c r="J47">
        <v>1</v>
      </c>
      <c r="K47" t="s">
        <v>36</v>
      </c>
      <c r="L47" t="str">
        <f t="shared" si="1"/>
        <v>Jan</v>
      </c>
    </row>
    <row r="48" spans="1:12" x14ac:dyDescent="0.3">
      <c r="A48">
        <v>1027</v>
      </c>
      <c r="B48" s="1">
        <v>45365</v>
      </c>
      <c r="C48" t="s">
        <v>14</v>
      </c>
      <c r="D48" t="s">
        <v>11</v>
      </c>
      <c r="E48">
        <v>6</v>
      </c>
      <c r="F48">
        <v>8000</v>
      </c>
      <c r="G48" t="s">
        <v>18</v>
      </c>
      <c r="H48" t="s">
        <v>19</v>
      </c>
      <c r="I48">
        <v>48000</v>
      </c>
      <c r="J48">
        <v>3</v>
      </c>
      <c r="K48" t="s">
        <v>36</v>
      </c>
      <c r="L48" t="str">
        <f t="shared" si="1"/>
        <v>Mar</v>
      </c>
    </row>
    <row r="49" spans="1:12" x14ac:dyDescent="0.3">
      <c r="A49">
        <v>1047</v>
      </c>
      <c r="B49" s="1">
        <v>45406</v>
      </c>
      <c r="C49" t="s">
        <v>14</v>
      </c>
      <c r="D49" t="s">
        <v>11</v>
      </c>
      <c r="E49">
        <v>6</v>
      </c>
      <c r="F49">
        <v>8000</v>
      </c>
      <c r="G49" t="s">
        <v>18</v>
      </c>
      <c r="H49" t="s">
        <v>19</v>
      </c>
      <c r="I49">
        <v>48000</v>
      </c>
      <c r="J49">
        <v>4</v>
      </c>
      <c r="K49" t="s">
        <v>36</v>
      </c>
      <c r="L49" t="str">
        <f t="shared" si="1"/>
        <v>Apr</v>
      </c>
    </row>
    <row r="50" spans="1:12" x14ac:dyDescent="0.3">
      <c r="A50">
        <v>1017</v>
      </c>
      <c r="B50" s="1">
        <v>45342</v>
      </c>
      <c r="C50" t="s">
        <v>14</v>
      </c>
      <c r="D50" t="s">
        <v>11</v>
      </c>
      <c r="E50">
        <v>7</v>
      </c>
      <c r="F50">
        <v>8000</v>
      </c>
      <c r="G50" t="s">
        <v>12</v>
      </c>
      <c r="H50" t="s">
        <v>13</v>
      </c>
      <c r="I50">
        <v>56000</v>
      </c>
      <c r="J50">
        <v>2</v>
      </c>
      <c r="K50" t="s">
        <v>36</v>
      </c>
      <c r="L50" t="str">
        <f t="shared" si="1"/>
        <v>Feb</v>
      </c>
    </row>
    <row r="51" spans="1:12" x14ac:dyDescent="0.3">
      <c r="A51">
        <v>1037</v>
      </c>
      <c r="B51" s="1">
        <v>45386</v>
      </c>
      <c r="C51" t="s">
        <v>14</v>
      </c>
      <c r="D51" t="s">
        <v>11</v>
      </c>
      <c r="E51">
        <v>7</v>
      </c>
      <c r="F51">
        <v>8000</v>
      </c>
      <c r="G51" t="s">
        <v>12</v>
      </c>
      <c r="H51" t="s">
        <v>13</v>
      </c>
      <c r="I51">
        <v>56000</v>
      </c>
      <c r="J51">
        <v>4</v>
      </c>
      <c r="K51" t="s">
        <v>36</v>
      </c>
      <c r="L51" t="str">
        <f t="shared" si="1"/>
        <v>Apr</v>
      </c>
    </row>
    <row r="52" spans="1:12"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topLeftCell="A12" zoomScale="91" zoomScaleNormal="100" workbookViewId="0">
      <selection activeCell="A19" sqref="A19"/>
    </sheetView>
  </sheetViews>
  <sheetFormatPr defaultRowHeight="14.4" x14ac:dyDescent="0.3"/>
  <cols>
    <col min="1" max="1" width="14.44140625"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0">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J8" zoomScale="50" zoomScaleNormal="50" workbookViewId="0">
      <selection activeCell="AV12" sqref="AV12"/>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Sales_data</vt:lpstr>
      <vt:lpstr>clean_sales</vt:lpstr>
      <vt:lpstr>Pivot Chart</vt:lpstr>
      <vt:lpstr>Sales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2026-04-28T14:23:23Z</dcterms:modified>
</cp:coreProperties>
</file>