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sc_JabulanePoulo_2026\Sales Analysis Project 2026\reports\"/>
    </mc:Choice>
  </mc:AlternateContent>
  <xr:revisionPtr revIDLastSave="0" documentId="13_ncr:1_{45E90A8F-7452-4A18-8B65-97A29981BEEB}" xr6:coauthVersionLast="47" xr6:coauthVersionMax="47" xr10:uidLastSave="{00000000-0000-0000-0000-000000000000}"/>
  <bookViews>
    <workbookView xWindow="-108" yWindow="-108" windowWidth="23256" windowHeight="12456" activeTab="3" xr2:uid="{90102FEE-92E7-48C1-BAE4-DCABF9FBBFF4}"/>
  </bookViews>
  <sheets>
    <sheet name="Sales_data" sheetId="13" r:id="rId1"/>
    <sheet name="clean_sales" sheetId="2" r:id="rId2"/>
    <sheet name="Pivot Chart" sheetId="4" r:id="rId3"/>
    <sheet name="Sales Dashboard" sheetId="16" r:id="rId4"/>
  </sheets>
  <definedNames>
    <definedName name="ExternalData_1" localSheetId="1" hidden="1">'clean_sales'!$A$1:$K$51</definedName>
    <definedName name="ExternalData_1" localSheetId="0" hidden="1">Sales_data!$A$1:$H$53</definedName>
    <definedName name="Slicer_Months__date">#N/A</definedName>
    <definedName name="Slicer_product">#N/A</definedName>
    <definedName name="Slicer_region">#N/A</definedName>
    <definedName name="Slicer_salesperson">#N/A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 i="2" l="1"/>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CEAFB5-6738-458E-84B5-A91536985826}" keepAlive="1" name="Query - clean_sales" description="Connection to the 'clean_sales' query in the workbook." type="5" refreshedVersion="8" background="1" saveData="1">
    <dbPr connection="Provider=Microsoft.Mashup.OleDb.1;Data Source=$Workbook$;Location=clean_sales;Extended Properties=&quot;&quot;" command="SELECT * FROM [clean_sales]"/>
  </connection>
  <connection id="2" xr16:uid="{740AB638-7C9E-49B4-BDE2-9193D121DAE6}" keepAlive="1" name="Query - logs" description="Connection to the 'logs' query in the workbook." type="5" refreshedVersion="0" background="1">
    <dbPr connection="Provider=Microsoft.Mashup.OleDb.1;Data Source=$Workbook$;Location=logs;Extended Properties=&quot;&quot;" command="SELECT * FROM [logs]"/>
  </connection>
  <connection id="3" xr16:uid="{FECD11D0-F84C-4105-A1FD-03EE6D9D065C}" keepAlive="1" name="Query - logs (2)" description="Connection to the 'logs (2)' query in the workbook." type="5" refreshedVersion="0" background="1">
    <dbPr connection="Provider=Microsoft.Mashup.OleDb.1;Data Source=$Workbook$;Location=&quot;logs (2)&quot;;Extended Properties=&quot;&quot;" command="SELECT * FROM [logs (2)]"/>
  </connection>
  <connection id="4" xr16:uid="{36AAC0FE-E05D-4053-BBCA-743C668537D3}" keepAlive="1" name="Query - logs_20260415_121211" description="Connection to the 'logs_20260415_121211' query in the workbook." type="5" refreshedVersion="8" background="1" saveData="1">
    <dbPr connection="Provider=Microsoft.Mashup.OleDb.1;Data Source=$Workbook$;Location=logs_20260415_121211;Extended Properties=&quot;&quot;" command="SELECT * FROM [logs_20260415_121211]"/>
  </connection>
  <connection id="5" xr16:uid="{547CD6AE-BAFC-469D-A92A-9D780FBAD174}" keepAlive="1" name="Query - Messy_Sales_Data" description="Connection to the 'Messy_Sales_Data' query in the workbook." type="5" refreshedVersion="0" background="1">
    <dbPr connection="Provider=Microsoft.Mashup.OleDb.1;Data Source=$Workbook$;Location=Messy_Sales_Data;Extended Properties=&quot;&quot;" command="SELECT * FROM [Messy_Sales_Data]"/>
  </connection>
  <connection id="6" xr16:uid="{001B4677-385E-4C10-A4DC-0790F81DEF0F}" keepAlive="1" name="Query - monthly_revenue" description="Connection to the 'monthly_revenue' query in the workbook." type="5" refreshedVersion="8" background="1" saveData="1">
    <dbPr connection="Provider=Microsoft.Mashup.OleDb.1;Data Source=$Workbook$;Location=monthly_revenue;Extended Properties=&quot;&quot;" command="SELECT * FROM [monthly_revenue]"/>
  </connection>
  <connection id="7" xr16:uid="{809F061A-CFCD-433A-9C2F-6564AB9B7891}" keepAlive="1" name="Query - sales_by_category" description="Connection to the 'sales_by_category' query in the workbook." type="5" refreshedVersion="8" background="1" saveData="1">
    <dbPr connection="Provider=Microsoft.Mashup.OleDb.1;Data Source=$Workbook$;Location=sales_by_category;Extended Properties=&quot;&quot;" command="SELECT * FROM [sales_by_category]"/>
  </connection>
  <connection id="8" xr16:uid="{0B37E246-394A-47D6-B088-7F90ACCCF1E2}" keepAlive="1" name="Query - sales_by_product" description="Connection to the 'sales_by_product' query in the workbook." type="5" refreshedVersion="8" background="1" saveData="1">
    <dbPr connection="Provider=Microsoft.Mashup.OleDb.1;Data Source=$Workbook$;Location=sales_by_product;Extended Properties=&quot;&quot;" command="SELECT * FROM [sales_by_product]"/>
  </connection>
  <connection id="9" xr16:uid="{9AE25330-482E-4A17-ADB7-B3CE9C1C5C9F}" keepAlive="1" name="Query - sales_by_region" description="Connection to the 'sales_by_region' query in the workbook." type="5" refreshedVersion="8" background="1" saveData="1">
    <dbPr connection="Provider=Microsoft.Mashup.OleDb.1;Data Source=$Workbook$;Location=sales_by_region;Extended Properties=&quot;&quot;" command="SELECT * FROM [sales_by_region]"/>
  </connection>
  <connection id="10" xr16:uid="{ED391C07-005B-4D20-AD42-5F98A37BBC99}" keepAlive="1" name="Query - sales_by_region (2)" description="Connection to the 'sales_by_region (2)' query in the workbook." type="5" refreshedVersion="8" background="1" saveData="1">
    <dbPr connection="Provider=Microsoft.Mashup.OleDb.1;Data Source=$Workbook$;Location=&quot;sales_by_region (2)&quot;;Extended Properties=&quot;&quot;" command="SELECT * FROM [sales_by_region (2)]"/>
  </connection>
  <connection id="11" xr16:uid="{597BCCFF-DEAE-4050-996B-DC80FE8DF258}"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 id="12" xr16:uid="{65CBCB5A-75AF-422B-9346-9AEE06A18874}" keepAlive="1" name="Query - Sales_data (2)" description="Connection to the 'Sales_data (2)' query in the workbook." type="5" refreshedVersion="0" background="1">
    <dbPr connection="Provider=Microsoft.Mashup.OleDb.1;Data Source=$Workbook$;Location=&quot;Sales_data (2)&quot;;Extended Properties=&quot;&quot;" command="SELECT * FROM [Sales_data (2)]"/>
  </connection>
  <connection id="13" xr16:uid="{5A2CBF15-3294-4505-9365-D83B0BEB2D8B}" keepAlive="1" name="Query - salesperson_performance" description="Connection to the 'salesperson_performance' query in the workbook." type="5" refreshedVersion="8" background="1" saveData="1">
    <dbPr connection="Provider=Microsoft.Mashup.OleDb.1;Data Source=$Workbook$;Location=salesperson_performance;Extended Properties=&quot;&quot;" command="SELECT * FROM [salesperson_performance]"/>
  </connection>
  <connection id="14" xr16:uid="{D6C248E2-B04D-4233-85B5-3E820F2E23D0}" keepAlive="1" name="Query - top_salespeople" description="Connection to the 'top_salespeople' query in the workbook." type="5" refreshedVersion="8" background="1" saveData="1">
    <dbPr connection="Provider=Microsoft.Mashup.OleDb.1;Data Source=$Workbook$;Location=top_salespeople;Extended Properties=&quot;&quot;" command="SELECT * FROM [top_salespeople]"/>
  </connection>
</connections>
</file>

<file path=xl/sharedStrings.xml><?xml version="1.0" encoding="utf-8"?>
<sst xmlns="http://schemas.openxmlformats.org/spreadsheetml/2006/main" count="517" uniqueCount="39">
  <si>
    <t>transaction_id</t>
  </si>
  <si>
    <t>date</t>
  </si>
  <si>
    <t>product</t>
  </si>
  <si>
    <t>category</t>
  </si>
  <si>
    <t>quantity</t>
  </si>
  <si>
    <t>price</t>
  </si>
  <si>
    <t>region</t>
  </si>
  <si>
    <t>salesperson</t>
  </si>
  <si>
    <t>revenue</t>
  </si>
  <si>
    <t>month</t>
  </si>
  <si>
    <t>Laptop</t>
  </si>
  <si>
    <t>Electronics</t>
  </si>
  <si>
    <t>North</t>
  </si>
  <si>
    <t>John</t>
  </si>
  <si>
    <t>Phone</t>
  </si>
  <si>
    <t>South</t>
  </si>
  <si>
    <t>Mary</t>
  </si>
  <si>
    <t>Tablet</t>
  </si>
  <si>
    <t>East</t>
  </si>
  <si>
    <t>David</t>
  </si>
  <si>
    <t>Chair</t>
  </si>
  <si>
    <t>Furniture</t>
  </si>
  <si>
    <t>West</t>
  </si>
  <si>
    <t>Sarah</t>
  </si>
  <si>
    <t>Desk</t>
  </si>
  <si>
    <t>Unknown</t>
  </si>
  <si>
    <t>Grand Total</t>
  </si>
  <si>
    <t>Sum of revenue</t>
  </si>
  <si>
    <t>Jan</t>
  </si>
  <si>
    <t>Feb</t>
  </si>
  <si>
    <t>Mar</t>
  </si>
  <si>
    <t>Apr</t>
  </si>
  <si>
    <t>Region</t>
  </si>
  <si>
    <t>Product</t>
  </si>
  <si>
    <t>months</t>
  </si>
  <si>
    <t>Salesperson</t>
  </si>
  <si>
    <t/>
  </si>
  <si>
    <t>Revenue %</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</si>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</sst>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0" fillId="0" borderId="0" xfId="0" pivotButton="1" applyNumberFormat="1"/>
    <xf numFmtId="164" fontId="0" fillId="0" borderId="0" xfId="0" applyNumberFormat="1" applyAlignment="1">
      <alignment horizontal="left"/>
    </xf>
    <xf numFmtId="0" fontId="18" fillId="0" borderId="0" xfId="0" applyFont="1"/>
    <xf numFmtId="0" fontId="0" fillId="33" borderId="0" xfId="0" applyFill="1"/>
    <xf numFmtId="10" fontId="0" fillId="0" borderId="0" xfId="0" applyNumberFormat="1"/>
    <xf numFmtId="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8">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19" formatCode="yyyy/mm/dd"/>
    </dxf>
    <dxf>
      <numFmt numFmtId="0" formatCode="General"/>
    </dxf>
    <dxf>
      <numFmt numFmtId="0" formatCode="General"/>
    </dxf>
    <dxf>
      <numFmt numFmtId="0" formatCode="General"/>
    </dxf>
    <dxf>
      <numFmt numFmtId="0" formatCode="General"/>
    </dxf>
    <dxf>
      <numFmt numFmtId="19" formatCode="yyyy/mm/dd"/>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
      <numFmt numFmtId="164" formatCode="&quot;R&quot;#,##0"/>
    </dxf>
    <dxf>
      <numFmt numFmtId="164" formatCode="&quot;R&quot;#,##0"/>
    </dxf>
    <dxf>
      <numFmt numFmtId="164" formatCode="&quot;R&quot;#,##0"/>
    </dxf>
    <dxf>
      <numFmt numFmtId="164" formatCode="&quot;R&quot;#,##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Chart!Months by Revenue</c:name>
    <c:fmtId val="1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ZA" sz="1800" b="1">
                <a:solidFill>
                  <a:schemeClr val="tx1"/>
                </a:solidFill>
              </a:rPr>
              <a:t>Monthly  Revenue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12892419229999"/>
          <c:y val="0.20432484072519952"/>
          <c:w val="0.75341969089737371"/>
          <c:h val="0.63682891911238371"/>
        </c:manualLayout>
      </c:layout>
      <c:lineChart>
        <c:grouping val="standard"/>
        <c:varyColors val="0"/>
        <c:ser>
          <c:idx val="0"/>
          <c:order val="0"/>
          <c:tx>
            <c:strRef>
              <c:f>'Pivot Chart'!$B$31</c:f>
              <c:strCache>
                <c:ptCount val="1"/>
                <c:pt idx="0">
                  <c:v>Sum of revenue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Chart'!$A$32:$A$36</c:f>
              <c:strCache>
                <c:ptCount val="4"/>
                <c:pt idx="0">
                  <c:v>Jan</c:v>
                </c:pt>
                <c:pt idx="1">
                  <c:v>Feb</c:v>
                </c:pt>
                <c:pt idx="2">
                  <c:v>Mar</c:v>
                </c:pt>
                <c:pt idx="3">
                  <c:v>Apr</c:v>
                </c:pt>
              </c:strCache>
            </c:strRef>
          </c:cat>
          <c:val>
            <c:numRef>
              <c:f>'Pivot Chart'!$B$32:$B$36</c:f>
              <c:numCache>
                <c:formatCode>"R"#\ ##0</c:formatCode>
                <c:ptCount val="4"/>
                <c:pt idx="0">
                  <c:v>167500</c:v>
                </c:pt>
                <c:pt idx="1">
                  <c:v>200500</c:v>
                </c:pt>
                <c:pt idx="2">
                  <c:v>271500</c:v>
                </c:pt>
                <c:pt idx="3">
                  <c:v>279000</c:v>
                </c:pt>
              </c:numCache>
            </c:numRef>
          </c:val>
          <c:smooth val="0"/>
          <c:extLst>
            <c:ext xmlns:c16="http://schemas.microsoft.com/office/drawing/2014/chart" uri="{C3380CC4-5D6E-409C-BE32-E72D297353CC}">
              <c16:uniqueId val="{00000000-B2A1-4E99-A381-826AC8072124}"/>
            </c:ext>
          </c:extLst>
        </c:ser>
        <c:ser>
          <c:idx val="1"/>
          <c:order val="1"/>
          <c:tx>
            <c:strRef>
              <c:f>'Pivot Chart'!$C$31</c:f>
              <c:strCache>
                <c:ptCount val="1"/>
                <c:pt idx="0">
                  <c:v>Revenue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Chart'!$A$32:$A$36</c:f>
              <c:strCache>
                <c:ptCount val="4"/>
                <c:pt idx="0">
                  <c:v>Jan</c:v>
                </c:pt>
                <c:pt idx="1">
                  <c:v>Feb</c:v>
                </c:pt>
                <c:pt idx="2">
                  <c:v>Mar</c:v>
                </c:pt>
                <c:pt idx="3">
                  <c:v>Apr</c:v>
                </c:pt>
              </c:strCache>
            </c:strRef>
          </c:cat>
          <c:val>
            <c:numRef>
              <c:f>'Pivot Chart'!$C$32:$C$36</c:f>
              <c:numCache>
                <c:formatCode>0.00%</c:formatCode>
                <c:ptCount val="4"/>
                <c:pt idx="0">
                  <c:v>0.18236254763200871</c:v>
                </c:pt>
                <c:pt idx="1">
                  <c:v>0.21829069134458357</c:v>
                </c:pt>
                <c:pt idx="2">
                  <c:v>0.29559063690800219</c:v>
                </c:pt>
                <c:pt idx="3">
                  <c:v>0.30375612411540553</c:v>
                </c:pt>
              </c:numCache>
            </c:numRef>
          </c:val>
          <c:smooth val="0"/>
          <c:extLst>
            <c:ext xmlns:c16="http://schemas.microsoft.com/office/drawing/2014/chart" uri="{C3380CC4-5D6E-409C-BE32-E72D297353CC}">
              <c16:uniqueId val="{00000000-0443-44E9-AEF1-04ECF8323E8C}"/>
            </c:ext>
          </c:extLst>
        </c:ser>
        <c:dLbls>
          <c:dLblPos val="t"/>
          <c:showLegendKey val="0"/>
          <c:showVal val="1"/>
          <c:showCatName val="0"/>
          <c:showSerName val="0"/>
          <c:showPercent val="0"/>
          <c:showBubbleSize val="0"/>
        </c:dLbls>
        <c:smooth val="0"/>
        <c:axId val="1769300767"/>
        <c:axId val="1769301247"/>
      </c:lineChart>
      <c:catAx>
        <c:axId val="176930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1769301247"/>
        <c:crosses val="autoZero"/>
        <c:auto val="1"/>
        <c:lblAlgn val="ctr"/>
        <c:lblOffset val="100"/>
        <c:noMultiLvlLbl val="0"/>
      </c:catAx>
      <c:valAx>
        <c:axId val="1769301247"/>
        <c:scaling>
          <c:orientation val="minMax"/>
        </c:scaling>
        <c:delete val="1"/>
        <c:axPos val="l"/>
        <c:numFmt formatCode="&quot;R&quot;#\ ##0" sourceLinked="1"/>
        <c:majorTickMark val="none"/>
        <c:minorTickMark val="none"/>
        <c:tickLblPos val="nextTo"/>
        <c:crossAx val="176930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Chart!Salesperson by Revenue</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Salesperson Performance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lumOff val="25000"/>
            </a:schemeClr>
          </a:solidFill>
          <a:ln>
            <a:noFill/>
          </a:ln>
          <a:effectLst/>
        </c:spPr>
        <c:dLbl>
          <c:idx val="0"/>
          <c:layout>
            <c:manualLayout>
              <c:x val="-4.0808358965749095E-3"/>
              <c:y val="1.164796724628295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a:noFill/>
          </a:ln>
          <a:effectLst/>
        </c:spPr>
      </c:pivotFmt>
    </c:pivotFmts>
    <c:plotArea>
      <c:layout>
        <c:manualLayout>
          <c:layoutTarget val="inner"/>
          <c:xMode val="edge"/>
          <c:yMode val="edge"/>
          <c:x val="0.15178322219554319"/>
          <c:y val="0.12865024449080908"/>
          <c:w val="0.80892260725462839"/>
          <c:h val="0.70173146222993266"/>
        </c:manualLayout>
      </c:layout>
      <c:barChart>
        <c:barDir val="bar"/>
        <c:grouping val="clustered"/>
        <c:varyColors val="0"/>
        <c:ser>
          <c:idx val="0"/>
          <c:order val="0"/>
          <c:tx>
            <c:strRef>
              <c:f>'Pivot Chart'!$B$39</c:f>
              <c:strCache>
                <c:ptCount val="1"/>
                <c:pt idx="0">
                  <c:v>Sum of revenue</c:v>
                </c:pt>
              </c:strCache>
            </c:strRef>
          </c:tx>
          <c:spPr>
            <a:solidFill>
              <a:schemeClr val="tx2">
                <a:lumMod val="75000"/>
                <a:lumOff val="25000"/>
              </a:schemeClr>
            </a:solidFill>
            <a:ln>
              <a:noFill/>
            </a:ln>
            <a:effectLst/>
          </c:spPr>
          <c:invertIfNegative val="0"/>
          <c:dPt>
            <c:idx val="4"/>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0-45D0-444E-956A-F15DB3F42CBB}"/>
              </c:ext>
            </c:extLst>
          </c:dPt>
          <c:dLbls>
            <c:dLbl>
              <c:idx val="4"/>
              <c:layout>
                <c:manualLayout>
                  <c:x val="-4.0808358965749095E-3"/>
                  <c:y val="1.164796724628295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5D0-444E-956A-F15DB3F42CBB}"/>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Chart'!$A$40:$A$45</c:f>
              <c:strCache>
                <c:ptCount val="5"/>
                <c:pt idx="0">
                  <c:v>Unknown</c:v>
                </c:pt>
                <c:pt idx="1">
                  <c:v>Sarah</c:v>
                </c:pt>
                <c:pt idx="2">
                  <c:v>Mary</c:v>
                </c:pt>
                <c:pt idx="3">
                  <c:v>John</c:v>
                </c:pt>
                <c:pt idx="4">
                  <c:v>David</c:v>
                </c:pt>
              </c:strCache>
            </c:strRef>
          </c:cat>
          <c:val>
            <c:numRef>
              <c:f>'Pivot Chart'!$B$40:$B$45</c:f>
              <c:numCache>
                <c:formatCode>"R"#\ ##0</c:formatCode>
                <c:ptCount val="5"/>
                <c:pt idx="0">
                  <c:v>21000</c:v>
                </c:pt>
                <c:pt idx="1">
                  <c:v>163000</c:v>
                </c:pt>
                <c:pt idx="2">
                  <c:v>204000</c:v>
                </c:pt>
                <c:pt idx="3">
                  <c:v>260500</c:v>
                </c:pt>
                <c:pt idx="4">
                  <c:v>270000</c:v>
                </c:pt>
              </c:numCache>
            </c:numRef>
          </c:val>
          <c:extLst>
            <c:ext xmlns:c16="http://schemas.microsoft.com/office/drawing/2014/chart" uri="{C3380CC4-5D6E-409C-BE32-E72D297353CC}">
              <c16:uniqueId val="{00000000-AC3E-4ACB-A461-9C59010BAF18}"/>
            </c:ext>
          </c:extLst>
        </c:ser>
        <c:ser>
          <c:idx val="1"/>
          <c:order val="1"/>
          <c:tx>
            <c:strRef>
              <c:f>'Pivot Chart'!$C$39</c:f>
              <c:strCache>
                <c:ptCount val="1"/>
                <c:pt idx="0">
                  <c:v>Revenue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Chart'!$A$40:$A$45</c:f>
              <c:strCache>
                <c:ptCount val="5"/>
                <c:pt idx="0">
                  <c:v>Unknown</c:v>
                </c:pt>
                <c:pt idx="1">
                  <c:v>Sarah</c:v>
                </c:pt>
                <c:pt idx="2">
                  <c:v>Mary</c:v>
                </c:pt>
                <c:pt idx="3">
                  <c:v>John</c:v>
                </c:pt>
                <c:pt idx="4">
                  <c:v>David</c:v>
                </c:pt>
              </c:strCache>
            </c:strRef>
          </c:cat>
          <c:val>
            <c:numRef>
              <c:f>'Pivot Chart'!$C$40:$C$45</c:f>
              <c:numCache>
                <c:formatCode>0.00%</c:formatCode>
                <c:ptCount val="5"/>
                <c:pt idx="0">
                  <c:v>2.2863364180729449E-2</c:v>
                </c:pt>
                <c:pt idx="1">
                  <c:v>0.17746325530756668</c:v>
                </c:pt>
                <c:pt idx="2">
                  <c:v>0.22210125204137179</c:v>
                </c:pt>
                <c:pt idx="3">
                  <c:v>0.28361458900381054</c:v>
                </c:pt>
                <c:pt idx="4">
                  <c:v>0.29395753946652148</c:v>
                </c:pt>
              </c:numCache>
            </c:numRef>
          </c:val>
          <c:extLst>
            <c:ext xmlns:c16="http://schemas.microsoft.com/office/drawing/2014/chart" uri="{C3380CC4-5D6E-409C-BE32-E72D297353CC}">
              <c16:uniqueId val="{00000000-4333-4642-A43B-694A2372CBB8}"/>
            </c:ext>
          </c:extLst>
        </c:ser>
        <c:dLbls>
          <c:dLblPos val="outEnd"/>
          <c:showLegendKey val="0"/>
          <c:showVal val="1"/>
          <c:showCatName val="0"/>
          <c:showSerName val="0"/>
          <c:showPercent val="0"/>
          <c:showBubbleSize val="0"/>
        </c:dLbls>
        <c:gapWidth val="182"/>
        <c:axId val="1674674031"/>
        <c:axId val="1674672111"/>
      </c:barChart>
      <c:catAx>
        <c:axId val="167467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1674672111"/>
        <c:crosses val="autoZero"/>
        <c:auto val="1"/>
        <c:lblAlgn val="ctr"/>
        <c:lblOffset val="100"/>
        <c:noMultiLvlLbl val="0"/>
      </c:catAx>
      <c:valAx>
        <c:axId val="1674672111"/>
        <c:scaling>
          <c:orientation val="minMax"/>
        </c:scaling>
        <c:delete val="1"/>
        <c:axPos val="b"/>
        <c:numFmt formatCode="&quot;R&quot;#\ ##0" sourceLinked="1"/>
        <c:majorTickMark val="none"/>
        <c:minorTickMark val="none"/>
        <c:tickLblPos val="nextTo"/>
        <c:crossAx val="167467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Chart!Product by Revenue</c:name>
    <c:fmtId val="14"/>
  </c:pivotSource>
  <c:chart>
    <c:title>
      <c:tx>
        <c:rich>
          <a:bodyPr rot="0" spcFirstLastPara="1" vertOverflow="ellipsis" vert="horz" wrap="square" anchor="ctr" anchorCtr="1"/>
          <a:lstStyle/>
          <a:p>
            <a:pPr>
              <a:defRPr sz="2800" b="1" i="0" u="none" strike="noStrike" kern="1200" baseline="0">
                <a:solidFill>
                  <a:schemeClr val="tx1"/>
                </a:solidFill>
                <a:latin typeface="+mn-lt"/>
                <a:ea typeface="+mn-ea"/>
                <a:cs typeface="+mn-cs"/>
              </a:defRPr>
            </a:pPr>
            <a:r>
              <a:rPr lang="en-ZA" sz="1800" b="1" i="0" u="none" strike="noStrike" baseline="0"/>
              <a:t>Product category distribution </a:t>
            </a:r>
            <a:endParaRPr lang="en-ZA" sz="1800">
              <a:solidFill>
                <a:schemeClr val="tx1"/>
              </a:solidFill>
            </a:endParaRPr>
          </a:p>
        </c:rich>
      </c:tx>
      <c:layout>
        <c:manualLayout>
          <c:xMode val="edge"/>
          <c:yMode val="edge"/>
          <c:x val="0.27692043357012941"/>
          <c:y val="1.8995412900247942E-2"/>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tx1"/>
              </a:solidFill>
              <a:latin typeface="+mn-lt"/>
              <a:ea typeface="+mn-ea"/>
              <a:cs typeface="+mn-cs"/>
            </a:defRPr>
          </a:pPr>
          <a:endParaRPr lang="en-ZA"/>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pivotFmt>
      <c:pivotFmt>
        <c:idx val="5"/>
        <c:spPr>
          <a:solidFill>
            <a:schemeClr val="accent5"/>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6401476183280037"/>
              <c:y val="2.952748297216318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8.1092791735021097E-2"/>
              <c:y val="0.1233501561247953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1.1213332772062268E-2"/>
              <c:y val="0.15321765253624967"/>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9.7675928951562851E-2"/>
              <c:y val="-0.14391263939155044"/>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1.8360302105160514E-3"/>
              <c:y val="8.1758854577750131E-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1543652402810514"/>
                  <c:h val="6.3684000801309953E-2"/>
                </c:manualLayout>
              </c15:layout>
            </c:ext>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6401476183280037"/>
              <c:y val="2.952748297216318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8.1092791735021097E-2"/>
              <c:y val="0.1233501561247953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1.1213332772062268E-2"/>
              <c:y val="0.15321765253624967"/>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9.7675928951562851E-2"/>
              <c:y val="-0.14391263939155044"/>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1.8360302105160514E-3"/>
              <c:y val="8.1758854577750131E-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1543652402810514"/>
                  <c:h val="6.3684000801309953E-2"/>
                </c:manualLayout>
              </c15:layout>
            </c:ext>
          </c:extLst>
        </c:dLbl>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67273841382904"/>
          <c:y val="0.15903459839007975"/>
          <c:w val="0.49819522581852216"/>
          <c:h val="0.82772144127786695"/>
        </c:manualLayout>
      </c:layout>
      <c:pieChart>
        <c:varyColors val="1"/>
        <c:ser>
          <c:idx val="0"/>
          <c:order val="0"/>
          <c:tx>
            <c:strRef>
              <c:f>'Pivot Chart'!$B$19</c:f>
              <c:strCache>
                <c:ptCount val="1"/>
                <c:pt idx="0">
                  <c:v>Sum of revenue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8EE-46F1-9E8D-9913C6E2B48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8EE-46F1-9E8D-9913C6E2B48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8EE-46F1-9E8D-9913C6E2B48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8EE-46F1-9E8D-9913C6E2B48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8EE-46F1-9E8D-9913C6E2B48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'Pivot Chart'!$A$20:$A$30</c:f>
              <c:multiLvlStrCache>
                <c:ptCount val="5"/>
                <c:lvl>
                  <c:pt idx="0">
                    <c:v>Furniture</c:v>
                  </c:pt>
                  <c:pt idx="1">
                    <c:v>Furniture</c:v>
                  </c:pt>
                  <c:pt idx="2">
                    <c:v>Electronics</c:v>
                  </c:pt>
                  <c:pt idx="3">
                    <c:v>Electronics</c:v>
                  </c:pt>
                  <c:pt idx="4">
                    <c:v>Electronics</c:v>
                  </c:pt>
                </c:lvl>
                <c:lvl>
                  <c:pt idx="0">
                    <c:v>Chair</c:v>
                  </c:pt>
                  <c:pt idx="1">
                    <c:v>Desk</c:v>
                  </c:pt>
                  <c:pt idx="2">
                    <c:v>Laptop</c:v>
                  </c:pt>
                  <c:pt idx="3">
                    <c:v>Phone</c:v>
                  </c:pt>
                  <c:pt idx="4">
                    <c:v>Tablet</c:v>
                  </c:pt>
                </c:lvl>
              </c:multiLvlStrCache>
            </c:multiLvlStrRef>
          </c:cat>
          <c:val>
            <c:numRef>
              <c:f>'Pivot Chart'!$B$20:$B$30</c:f>
              <c:numCache>
                <c:formatCode>"R"#\ ##0</c:formatCode>
                <c:ptCount val="5"/>
                <c:pt idx="0">
                  <c:v>73500</c:v>
                </c:pt>
                <c:pt idx="1">
                  <c:v>75000</c:v>
                </c:pt>
                <c:pt idx="2">
                  <c:v>180000</c:v>
                </c:pt>
                <c:pt idx="3">
                  <c:v>440000</c:v>
                </c:pt>
                <c:pt idx="4">
                  <c:v>150000</c:v>
                </c:pt>
              </c:numCache>
            </c:numRef>
          </c:val>
          <c:extLst>
            <c:ext xmlns:c16="http://schemas.microsoft.com/office/drawing/2014/chart" uri="{C3380CC4-5D6E-409C-BE32-E72D297353CC}">
              <c16:uniqueId val="{0000000A-98EE-46F1-9E8D-9913C6E2B489}"/>
            </c:ext>
          </c:extLst>
        </c:ser>
        <c:ser>
          <c:idx val="1"/>
          <c:order val="1"/>
          <c:tx>
            <c:strRef>
              <c:f>'Pivot Chart'!$C$19</c:f>
              <c:strCache>
                <c:ptCount val="1"/>
                <c:pt idx="0">
                  <c:v>Revenue %</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0AB-4D26-9F1D-0DE1AE481F1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70AB-4D26-9F1D-0DE1AE481F1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70AB-4D26-9F1D-0DE1AE481F1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70AB-4D26-9F1D-0DE1AE481F1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70AB-4D26-9F1D-0DE1AE481F1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'Pivot Chart'!$A$20:$A$30</c:f>
              <c:multiLvlStrCache>
                <c:ptCount val="5"/>
                <c:lvl>
                  <c:pt idx="0">
                    <c:v>Furniture</c:v>
                  </c:pt>
                  <c:pt idx="1">
                    <c:v>Furniture</c:v>
                  </c:pt>
                  <c:pt idx="2">
                    <c:v>Electronics</c:v>
                  </c:pt>
                  <c:pt idx="3">
                    <c:v>Electronics</c:v>
                  </c:pt>
                  <c:pt idx="4">
                    <c:v>Electronics</c:v>
                  </c:pt>
                </c:lvl>
                <c:lvl>
                  <c:pt idx="0">
                    <c:v>Chair</c:v>
                  </c:pt>
                  <c:pt idx="1">
                    <c:v>Desk</c:v>
                  </c:pt>
                  <c:pt idx="2">
                    <c:v>Laptop</c:v>
                  </c:pt>
                  <c:pt idx="3">
                    <c:v>Phone</c:v>
                  </c:pt>
                  <c:pt idx="4">
                    <c:v>Tablet</c:v>
                  </c:pt>
                </c:lvl>
              </c:multiLvlStrCache>
            </c:multiLvlStrRef>
          </c:cat>
          <c:val>
            <c:numRef>
              <c:f>'Pivot Chart'!$C$20:$C$30</c:f>
              <c:numCache>
                <c:formatCode>0.00%</c:formatCode>
                <c:ptCount val="5"/>
                <c:pt idx="0">
                  <c:v>8.0021774632553069E-2</c:v>
                </c:pt>
                <c:pt idx="1">
                  <c:v>8.1654872074033755E-2</c:v>
                </c:pt>
                <c:pt idx="2">
                  <c:v>0.19597169297768099</c:v>
                </c:pt>
                <c:pt idx="3">
                  <c:v>0.47904191616766467</c:v>
                </c:pt>
                <c:pt idx="4">
                  <c:v>0.16330974414806751</c:v>
                </c:pt>
              </c:numCache>
            </c:numRef>
          </c:val>
          <c:extLst>
            <c:ext xmlns:c16="http://schemas.microsoft.com/office/drawing/2014/chart" uri="{C3380CC4-5D6E-409C-BE32-E72D297353CC}">
              <c16:uniqueId val="{0000000A-CAD6-4D3D-8958-CE1651D2A1D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6949988870395758"/>
          <c:y val="0.12772192831973789"/>
          <c:w val="0.23050014351048037"/>
          <c:h val="0.4381681010714125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Chart!Region by Revenue</c:name>
    <c:fmtId val="16"/>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ZA" sz="1800" b="1">
                <a:solidFill>
                  <a:schemeClr val="tx1"/>
                </a:solidFill>
              </a:rPr>
              <a:t>Sales</a:t>
            </a:r>
            <a:r>
              <a:rPr lang="en-ZA" sz="1800" b="1" baseline="0">
                <a:solidFill>
                  <a:schemeClr val="tx1"/>
                </a:solidFill>
              </a:rPr>
              <a:t> by Region</a:t>
            </a:r>
            <a:endParaRPr lang="en-ZA" sz="18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ZA"/>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2927688957555613E-2"/>
              <c:y val="1.60493815459282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9805995644822295E-2"/>
              <c:y val="8.024690772964122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2.751322674906665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2.063492006180005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75000"/>
              <a:lumOff val="25000"/>
            </a:schemeClr>
          </a:solidFill>
          <a:ln>
            <a:noFill/>
          </a:ln>
          <a:effectLst/>
        </c:spPr>
      </c:pivotFmt>
    </c:pivotFmts>
    <c:plotArea>
      <c:layout>
        <c:manualLayout>
          <c:layoutTarget val="inner"/>
          <c:xMode val="edge"/>
          <c:yMode val="edge"/>
          <c:x val="0.16749367637384888"/>
          <c:y val="0.16500453258235875"/>
          <c:w val="0.6566560352662062"/>
          <c:h val="0.7049929103689625"/>
        </c:manualLayout>
      </c:layout>
      <c:barChart>
        <c:barDir val="col"/>
        <c:grouping val="clustered"/>
        <c:varyColors val="0"/>
        <c:ser>
          <c:idx val="0"/>
          <c:order val="0"/>
          <c:tx>
            <c:strRef>
              <c:f>'Pivot Chart'!$B$3</c:f>
              <c:strCache>
                <c:ptCount val="1"/>
                <c:pt idx="0">
                  <c:v>Sum of revenue</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Chart'!$A$4:$A$8</c:f>
              <c:strCache>
                <c:ptCount val="4"/>
                <c:pt idx="0">
                  <c:v>East</c:v>
                </c:pt>
                <c:pt idx="1">
                  <c:v>North</c:v>
                </c:pt>
                <c:pt idx="2">
                  <c:v>South</c:v>
                </c:pt>
                <c:pt idx="3">
                  <c:v>West</c:v>
                </c:pt>
              </c:strCache>
            </c:strRef>
          </c:cat>
          <c:val>
            <c:numRef>
              <c:f>'Pivot Chart'!$B$4:$B$8</c:f>
              <c:numCache>
                <c:formatCode>"R"#\ ##0</c:formatCode>
                <c:ptCount val="4"/>
                <c:pt idx="0">
                  <c:v>270000</c:v>
                </c:pt>
                <c:pt idx="1">
                  <c:v>260500</c:v>
                </c:pt>
                <c:pt idx="2">
                  <c:v>225000</c:v>
                </c:pt>
                <c:pt idx="3">
                  <c:v>163000</c:v>
                </c:pt>
              </c:numCache>
            </c:numRef>
          </c:val>
          <c:extLst>
            <c:ext xmlns:c16="http://schemas.microsoft.com/office/drawing/2014/chart" uri="{C3380CC4-5D6E-409C-BE32-E72D297353CC}">
              <c16:uniqueId val="{00000000-F60F-4540-B817-12F8955C750B}"/>
            </c:ext>
          </c:extLst>
        </c:ser>
        <c:ser>
          <c:idx val="1"/>
          <c:order val="1"/>
          <c:tx>
            <c:strRef>
              <c:f>'Pivot Chart'!$C$3</c:f>
              <c:strCache>
                <c:ptCount val="1"/>
                <c:pt idx="0">
                  <c:v>Revenue %</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AF74-410F-8348-B4B65161FA75}"/>
              </c:ext>
            </c:extLst>
          </c:dPt>
          <c:dPt>
            <c:idx val="1"/>
            <c:invertIfNegative val="0"/>
            <c:bubble3D val="0"/>
            <c:extLst>
              <c:ext xmlns:c16="http://schemas.microsoft.com/office/drawing/2014/chart" uri="{C3380CC4-5D6E-409C-BE32-E72D297353CC}">
                <c16:uniqueId val="{00000001-AF74-410F-8348-B4B65161FA75}"/>
              </c:ext>
            </c:extLst>
          </c:dPt>
          <c:dPt>
            <c:idx val="2"/>
            <c:invertIfNegative val="0"/>
            <c:bubble3D val="0"/>
            <c:extLst>
              <c:ext xmlns:c16="http://schemas.microsoft.com/office/drawing/2014/chart" uri="{C3380CC4-5D6E-409C-BE32-E72D297353CC}">
                <c16:uniqueId val="{00000002-AF74-410F-8348-B4B65161FA75}"/>
              </c:ext>
            </c:extLst>
          </c:dPt>
          <c:dPt>
            <c:idx val="3"/>
            <c:invertIfNegative val="0"/>
            <c:bubble3D val="0"/>
            <c:extLst>
              <c:ext xmlns:c16="http://schemas.microsoft.com/office/drawing/2014/chart" uri="{C3380CC4-5D6E-409C-BE32-E72D297353CC}">
                <c16:uniqueId val="{00000003-AF74-410F-8348-B4B65161FA75}"/>
              </c:ext>
            </c:extLst>
          </c:dPt>
          <c:dLbls>
            <c:dLbl>
              <c:idx val="0"/>
              <c:layout>
                <c:manualLayout>
                  <c:x val="2.2927688957555613E-2"/>
                  <c:y val="1.604938154592824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74-410F-8348-B4B65161FA75}"/>
                </c:ext>
              </c:extLst>
            </c:dLbl>
            <c:dLbl>
              <c:idx val="1"/>
              <c:layout>
                <c:manualLayout>
                  <c:x val="2.9805995644822295E-2"/>
                  <c:y val="8.024690772964122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74-410F-8348-B4B65161FA75}"/>
                </c:ext>
              </c:extLst>
            </c:dLbl>
            <c:dLbl>
              <c:idx val="2"/>
              <c:layout>
                <c:manualLayout>
                  <c:x val="2.751322674906665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F74-410F-8348-B4B65161FA75}"/>
                </c:ext>
              </c:extLst>
            </c:dLbl>
            <c:dLbl>
              <c:idx val="3"/>
              <c:layout>
                <c:manualLayout>
                  <c:x val="2.063492006180005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74-410F-8348-B4B65161FA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Chart'!$A$4:$A$8</c:f>
              <c:strCache>
                <c:ptCount val="4"/>
                <c:pt idx="0">
                  <c:v>East</c:v>
                </c:pt>
                <c:pt idx="1">
                  <c:v>North</c:v>
                </c:pt>
                <c:pt idx="2">
                  <c:v>South</c:v>
                </c:pt>
                <c:pt idx="3">
                  <c:v>West</c:v>
                </c:pt>
              </c:strCache>
            </c:strRef>
          </c:cat>
          <c:val>
            <c:numRef>
              <c:f>'Pivot Chart'!$C$4:$C$8</c:f>
              <c:numCache>
                <c:formatCode>0.00%</c:formatCode>
                <c:ptCount val="4"/>
                <c:pt idx="0">
                  <c:v>0.29395753946652148</c:v>
                </c:pt>
                <c:pt idx="1">
                  <c:v>0.28361458900381054</c:v>
                </c:pt>
                <c:pt idx="2">
                  <c:v>0.24496461622210125</c:v>
                </c:pt>
                <c:pt idx="3">
                  <c:v>0.17746325530756668</c:v>
                </c:pt>
              </c:numCache>
            </c:numRef>
          </c:val>
          <c:extLst>
            <c:ext xmlns:c16="http://schemas.microsoft.com/office/drawing/2014/chart" uri="{C3380CC4-5D6E-409C-BE32-E72D297353CC}">
              <c16:uniqueId val="{00000000-6BE4-4B32-852D-A73BFABBBCC2}"/>
            </c:ext>
          </c:extLst>
        </c:ser>
        <c:dLbls>
          <c:dLblPos val="outEnd"/>
          <c:showLegendKey val="0"/>
          <c:showVal val="1"/>
          <c:showCatName val="0"/>
          <c:showSerName val="0"/>
          <c:showPercent val="0"/>
          <c:showBubbleSize val="0"/>
        </c:dLbls>
        <c:gapWidth val="182"/>
        <c:axId val="1611753663"/>
        <c:axId val="1611754623"/>
      </c:barChart>
      <c:catAx>
        <c:axId val="161175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1611754623"/>
        <c:crosses val="autoZero"/>
        <c:auto val="1"/>
        <c:lblAlgn val="ctr"/>
        <c:lblOffset val="100"/>
        <c:noMultiLvlLbl val="0"/>
      </c:catAx>
      <c:valAx>
        <c:axId val="1611754623"/>
        <c:scaling>
          <c:orientation val="minMax"/>
        </c:scaling>
        <c:delete val="1"/>
        <c:axPos val="l"/>
        <c:majorGridlines>
          <c:spPr>
            <a:ln w="9525" cap="flat" cmpd="sng" algn="ctr">
              <a:noFill/>
              <a:round/>
            </a:ln>
            <a:effectLst/>
          </c:spPr>
        </c:majorGridlines>
        <c:numFmt formatCode="&quot;R&quot;#\ ##0" sourceLinked="1"/>
        <c:majorTickMark val="none"/>
        <c:minorTickMark val="none"/>
        <c:tickLblPos val="nextTo"/>
        <c:crossAx val="161175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chart" Target="../charts/chart2.xml"/><Relationship Id="rId16"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10</xdr:col>
      <xdr:colOff>205155</xdr:colOff>
      <xdr:row>7</xdr:row>
      <xdr:rowOff>72761</xdr:rowOff>
    </xdr:from>
    <xdr:to>
      <xdr:col>42</xdr:col>
      <xdr:colOff>3</xdr:colOff>
      <xdr:row>16</xdr:row>
      <xdr:rowOff>13607</xdr:rowOff>
    </xdr:to>
    <xdr:sp macro="" textlink="">
      <xdr:nvSpPr>
        <xdr:cNvPr id="15" name="Rectangle: Rounded Corners 14">
          <a:extLst>
            <a:ext uri="{FF2B5EF4-FFF2-40B4-BE49-F238E27FC236}">
              <a16:creationId xmlns:a16="http://schemas.microsoft.com/office/drawing/2014/main" id="{DC643ED4-D366-1A28-DBC2-CB25B574D3BE}"/>
            </a:ext>
          </a:extLst>
        </xdr:cNvPr>
        <xdr:cNvSpPr/>
      </xdr:nvSpPr>
      <xdr:spPr>
        <a:xfrm>
          <a:off x="6359770" y="1303684"/>
          <a:ext cx="19489618" cy="1523461"/>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tx2">
                <a:lumMod val="75000"/>
                <a:lumOff val="25000"/>
              </a:schemeClr>
            </a:solidFill>
          </a:endParaRPr>
        </a:p>
      </xdr:txBody>
    </xdr:sp>
    <xdr:clientData/>
  </xdr:twoCellAnchor>
  <xdr:oneCellAnchor>
    <xdr:from>
      <xdr:col>23</xdr:col>
      <xdr:colOff>92389</xdr:colOff>
      <xdr:row>9</xdr:row>
      <xdr:rowOff>0</xdr:rowOff>
    </xdr:from>
    <xdr:ext cx="5394011" cy="593239"/>
    <xdr:sp macro="" textlink="">
      <xdr:nvSpPr>
        <xdr:cNvPr id="16" name="TextBox 15">
          <a:extLst>
            <a:ext uri="{FF2B5EF4-FFF2-40B4-BE49-F238E27FC236}">
              <a16:creationId xmlns:a16="http://schemas.microsoft.com/office/drawing/2014/main" id="{DEF69C4A-B3E7-8087-2C72-49752CF4D61B}"/>
            </a:ext>
          </a:extLst>
        </xdr:cNvPr>
        <xdr:cNvSpPr txBox="1"/>
      </xdr:nvSpPr>
      <xdr:spPr>
        <a:xfrm>
          <a:off x="14113189" y="1676400"/>
          <a:ext cx="5394011"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3200" b="1">
              <a:solidFill>
                <a:schemeClr val="bg1"/>
              </a:solidFill>
            </a:rPr>
            <a:t>SALES DATA</a:t>
          </a:r>
          <a:r>
            <a:rPr lang="en-ZA" sz="3200" b="1" baseline="0">
              <a:solidFill>
                <a:schemeClr val="bg1"/>
              </a:solidFill>
            </a:rPr>
            <a:t> DASHBOARD</a:t>
          </a:r>
          <a:endParaRPr lang="en-ZA" sz="3200" b="1">
            <a:solidFill>
              <a:schemeClr val="bg1"/>
            </a:solidFill>
          </a:endParaRPr>
        </a:p>
      </xdr:txBody>
    </xdr:sp>
    <xdr:clientData/>
  </xdr:oneCellAnchor>
  <xdr:twoCellAnchor>
    <xdr:from>
      <xdr:col>10</xdr:col>
      <xdr:colOff>219808</xdr:colOff>
      <xdr:row>25</xdr:row>
      <xdr:rowOff>144686</xdr:rowOff>
    </xdr:from>
    <xdr:to>
      <xdr:col>21</xdr:col>
      <xdr:colOff>602333</xdr:colOff>
      <xdr:row>45</xdr:row>
      <xdr:rowOff>131885</xdr:rowOff>
    </xdr:to>
    <xdr:sp macro="" textlink="">
      <xdr:nvSpPr>
        <xdr:cNvPr id="29" name="Rectangle: Rounded Corners 28">
          <a:extLst>
            <a:ext uri="{FF2B5EF4-FFF2-40B4-BE49-F238E27FC236}">
              <a16:creationId xmlns:a16="http://schemas.microsoft.com/office/drawing/2014/main" id="{ED1BE21F-B279-824E-2C6E-6B53F6B8282B}"/>
            </a:ext>
          </a:extLst>
        </xdr:cNvPr>
        <xdr:cNvSpPr/>
      </xdr:nvSpPr>
      <xdr:spPr>
        <a:xfrm>
          <a:off x="6374423" y="4540840"/>
          <a:ext cx="7152602" cy="3504122"/>
        </a:xfrm>
        <a:prstGeom prst="roundRect">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editAs="absolute">
    <xdr:from>
      <xdr:col>11</xdr:col>
      <xdr:colOff>29308</xdr:colOff>
      <xdr:row>26</xdr:row>
      <xdr:rowOff>117232</xdr:rowOff>
    </xdr:from>
    <xdr:to>
      <xdr:col>20</xdr:col>
      <xdr:colOff>502229</xdr:colOff>
      <xdr:row>45</xdr:row>
      <xdr:rowOff>31535</xdr:rowOff>
    </xdr:to>
    <xdr:graphicFrame macro="">
      <xdr:nvGraphicFramePr>
        <xdr:cNvPr id="31" name="Chart 4">
          <a:extLst>
            <a:ext uri="{FF2B5EF4-FFF2-40B4-BE49-F238E27FC236}">
              <a16:creationId xmlns:a16="http://schemas.microsoft.com/office/drawing/2014/main" id="{78927F02-4469-440B-8EA6-59750ED17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190663</xdr:colOff>
      <xdr:row>25</xdr:row>
      <xdr:rowOff>144686</xdr:rowOff>
    </xdr:from>
    <xdr:to>
      <xdr:col>42</xdr:col>
      <xdr:colOff>0</xdr:colOff>
      <xdr:row>46</xdr:row>
      <xdr:rowOff>1</xdr:rowOff>
    </xdr:to>
    <xdr:sp macro="" textlink="">
      <xdr:nvSpPr>
        <xdr:cNvPr id="40" name="Rectangle: Rounded Corners 39">
          <a:extLst>
            <a:ext uri="{FF2B5EF4-FFF2-40B4-BE49-F238E27FC236}">
              <a16:creationId xmlns:a16="http://schemas.microsoft.com/office/drawing/2014/main" id="{F10A6E8C-C1EF-20FA-477E-DFE8C85CBBAD}"/>
            </a:ext>
          </a:extLst>
        </xdr:cNvPr>
        <xdr:cNvSpPr/>
      </xdr:nvSpPr>
      <xdr:spPr>
        <a:xfrm>
          <a:off x="18654509" y="4540840"/>
          <a:ext cx="7194876" cy="3548084"/>
        </a:xfrm>
        <a:prstGeom prst="roundRect">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absolute">
    <xdr:from>
      <xdr:col>30</xdr:col>
      <xdr:colOff>488470</xdr:colOff>
      <xdr:row>26</xdr:row>
      <xdr:rowOff>143389</xdr:rowOff>
    </xdr:from>
    <xdr:to>
      <xdr:col>41</xdr:col>
      <xdr:colOff>330679</xdr:colOff>
      <xdr:row>45</xdr:row>
      <xdr:rowOff>73269</xdr:rowOff>
    </xdr:to>
    <xdr:graphicFrame macro="">
      <xdr:nvGraphicFramePr>
        <xdr:cNvPr id="42" name="Chart 8">
          <a:extLst>
            <a:ext uri="{FF2B5EF4-FFF2-40B4-BE49-F238E27FC236}">
              <a16:creationId xmlns:a16="http://schemas.microsoft.com/office/drawing/2014/main" id="{06026AF8-D049-4E61-873D-71ADBD244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49</xdr:row>
      <xdr:rowOff>0</xdr:rowOff>
    </xdr:from>
    <xdr:to>
      <xdr:col>21</xdr:col>
      <xdr:colOff>510173</xdr:colOff>
      <xdr:row>71</xdr:row>
      <xdr:rowOff>117231</xdr:rowOff>
    </xdr:to>
    <xdr:sp macro="" textlink="">
      <xdr:nvSpPr>
        <xdr:cNvPr id="43" name="Rectangle: Rounded Corners 42">
          <a:extLst>
            <a:ext uri="{FF2B5EF4-FFF2-40B4-BE49-F238E27FC236}">
              <a16:creationId xmlns:a16="http://schemas.microsoft.com/office/drawing/2014/main" id="{7ED2DE61-0265-6BA5-6BA3-9885BCE653BE}"/>
            </a:ext>
          </a:extLst>
        </xdr:cNvPr>
        <xdr:cNvSpPr/>
      </xdr:nvSpPr>
      <xdr:spPr>
        <a:xfrm>
          <a:off x="6345115" y="8616462"/>
          <a:ext cx="7089750" cy="3985846"/>
        </a:xfrm>
        <a:prstGeom prst="roundRect">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absolute">
    <xdr:from>
      <xdr:col>10</xdr:col>
      <xdr:colOff>351693</xdr:colOff>
      <xdr:row>50</xdr:row>
      <xdr:rowOff>102576</xdr:rowOff>
    </xdr:from>
    <xdr:to>
      <xdr:col>21</xdr:col>
      <xdr:colOff>234462</xdr:colOff>
      <xdr:row>70</xdr:row>
      <xdr:rowOff>117231</xdr:rowOff>
    </xdr:to>
    <xdr:graphicFrame macro="">
      <xdr:nvGraphicFramePr>
        <xdr:cNvPr id="45" name="Chart 3">
          <a:extLst>
            <a:ext uri="{FF2B5EF4-FFF2-40B4-BE49-F238E27FC236}">
              <a16:creationId xmlns:a16="http://schemas.microsoft.com/office/drawing/2014/main" id="{04BD1E69-C5F9-498C-81DA-1646F63F1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190663</xdr:colOff>
      <xdr:row>49</xdr:row>
      <xdr:rowOff>43961</xdr:rowOff>
    </xdr:from>
    <xdr:to>
      <xdr:col>42</xdr:col>
      <xdr:colOff>15240</xdr:colOff>
      <xdr:row>71</xdr:row>
      <xdr:rowOff>161193</xdr:rowOff>
    </xdr:to>
    <xdr:sp macro="" textlink="">
      <xdr:nvSpPr>
        <xdr:cNvPr id="46" name="Rectangle: Rounded Corners 45">
          <a:extLst>
            <a:ext uri="{FF2B5EF4-FFF2-40B4-BE49-F238E27FC236}">
              <a16:creationId xmlns:a16="http://schemas.microsoft.com/office/drawing/2014/main" id="{66EB5D84-405D-C8BC-BC8D-0517C83AC47D}"/>
            </a:ext>
          </a:extLst>
        </xdr:cNvPr>
        <xdr:cNvSpPr/>
      </xdr:nvSpPr>
      <xdr:spPr>
        <a:xfrm>
          <a:off x="18478663" y="9005081"/>
          <a:ext cx="7139777" cy="4140592"/>
        </a:xfrm>
        <a:prstGeom prst="roundRect">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absolute">
    <xdr:from>
      <xdr:col>31</xdr:col>
      <xdr:colOff>87923</xdr:colOff>
      <xdr:row>50</xdr:row>
      <xdr:rowOff>117230</xdr:rowOff>
    </xdr:from>
    <xdr:to>
      <xdr:col>40</xdr:col>
      <xdr:colOff>527538</xdr:colOff>
      <xdr:row>70</xdr:row>
      <xdr:rowOff>161191</xdr:rowOff>
    </xdr:to>
    <xdr:graphicFrame macro="">
      <xdr:nvGraphicFramePr>
        <xdr:cNvPr id="47" name="Chart 46">
          <a:extLst>
            <a:ext uri="{FF2B5EF4-FFF2-40B4-BE49-F238E27FC236}">
              <a16:creationId xmlns:a16="http://schemas.microsoft.com/office/drawing/2014/main" id="{07BCCCCE-4E39-4382-BA67-65E40D405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219808</xdr:colOff>
      <xdr:row>17</xdr:row>
      <xdr:rowOff>161193</xdr:rowOff>
    </xdr:from>
    <xdr:to>
      <xdr:col>16</xdr:col>
      <xdr:colOff>58615</xdr:colOff>
      <xdr:row>23</xdr:row>
      <xdr:rowOff>131884</xdr:rowOff>
    </xdr:to>
    <xdr:sp macro="" textlink="">
      <xdr:nvSpPr>
        <xdr:cNvPr id="48" name="Rectangle: Rounded Corners 47">
          <a:extLst>
            <a:ext uri="{FF2B5EF4-FFF2-40B4-BE49-F238E27FC236}">
              <a16:creationId xmlns:a16="http://schemas.microsoft.com/office/drawing/2014/main" id="{F86B4EDB-3893-B896-8C56-9C8409CA1F4A}"/>
            </a:ext>
          </a:extLst>
        </xdr:cNvPr>
        <xdr:cNvSpPr/>
      </xdr:nvSpPr>
      <xdr:spPr>
        <a:xfrm>
          <a:off x="6374423" y="3150578"/>
          <a:ext cx="3531577" cy="1025768"/>
        </a:xfrm>
        <a:prstGeom prst="roundRect">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 </a:t>
          </a:r>
        </a:p>
      </xdr:txBody>
    </xdr:sp>
    <xdr:clientData/>
  </xdr:twoCellAnchor>
  <xdr:twoCellAnchor editAs="oneCell">
    <xdr:from>
      <xdr:col>14</xdr:col>
      <xdr:colOff>55847</xdr:colOff>
      <xdr:row>18</xdr:row>
      <xdr:rowOff>29308</xdr:rowOff>
    </xdr:from>
    <xdr:to>
      <xdr:col>15</xdr:col>
      <xdr:colOff>293078</xdr:colOff>
      <xdr:row>22</xdr:row>
      <xdr:rowOff>165374</xdr:rowOff>
    </xdr:to>
    <xdr:pic>
      <xdr:nvPicPr>
        <xdr:cNvPr id="50" name="Graphic 49" descr="Money with solid fill">
          <a:extLst>
            <a:ext uri="{FF2B5EF4-FFF2-40B4-BE49-F238E27FC236}">
              <a16:creationId xmlns:a16="http://schemas.microsoft.com/office/drawing/2014/main" id="{018353BE-0826-616C-8C0B-BBA59B51CFF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672309" y="3194539"/>
          <a:ext cx="852692" cy="839450"/>
        </a:xfrm>
        <a:prstGeom prst="rect">
          <a:avLst/>
        </a:prstGeom>
      </xdr:spPr>
    </xdr:pic>
    <xdr:clientData/>
  </xdr:twoCellAnchor>
  <xdr:oneCellAnchor>
    <xdr:from>
      <xdr:col>10</xdr:col>
      <xdr:colOff>385239</xdr:colOff>
      <xdr:row>18</xdr:row>
      <xdr:rowOff>40459</xdr:rowOff>
    </xdr:from>
    <xdr:ext cx="1651647" cy="342851"/>
    <xdr:sp macro="" textlink="">
      <xdr:nvSpPr>
        <xdr:cNvPr id="54" name="TextBox 53">
          <a:extLst>
            <a:ext uri="{FF2B5EF4-FFF2-40B4-BE49-F238E27FC236}">
              <a16:creationId xmlns:a16="http://schemas.microsoft.com/office/drawing/2014/main" id="{FC467B59-78FE-4D38-8C48-309826571BC1}"/>
            </a:ext>
          </a:extLst>
        </xdr:cNvPr>
        <xdr:cNvSpPr txBox="1"/>
      </xdr:nvSpPr>
      <xdr:spPr>
        <a:xfrm>
          <a:off x="6539854" y="3205690"/>
          <a:ext cx="16516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1600" b="1">
              <a:solidFill>
                <a:schemeClr val="tx1"/>
              </a:solidFill>
            </a:rPr>
            <a:t>TOTAL</a:t>
          </a:r>
          <a:r>
            <a:rPr lang="en-ZA" sz="1600" b="1" baseline="0">
              <a:solidFill>
                <a:schemeClr val="tx1"/>
              </a:solidFill>
            </a:rPr>
            <a:t> REVENUE</a:t>
          </a:r>
          <a:endParaRPr lang="en-ZA" sz="1600" b="1">
            <a:solidFill>
              <a:schemeClr val="tx1"/>
            </a:solidFill>
          </a:endParaRPr>
        </a:p>
      </xdr:txBody>
    </xdr:sp>
    <xdr:clientData/>
  </xdr:oneCellAnchor>
  <xdr:twoCellAnchor editAs="oneCell">
    <xdr:from>
      <xdr:col>11</xdr:col>
      <xdr:colOff>62853</xdr:colOff>
      <xdr:row>8</xdr:row>
      <xdr:rowOff>100145</xdr:rowOff>
    </xdr:from>
    <xdr:to>
      <xdr:col>14</xdr:col>
      <xdr:colOff>569611</xdr:colOff>
      <xdr:row>14</xdr:row>
      <xdr:rowOff>117231</xdr:rowOff>
    </xdr:to>
    <xdr:pic>
      <xdr:nvPicPr>
        <xdr:cNvPr id="57" name="Image 4">
          <a:extLst>
            <a:ext uri="{FF2B5EF4-FFF2-40B4-BE49-F238E27FC236}">
              <a16:creationId xmlns:a16="http://schemas.microsoft.com/office/drawing/2014/main" id="{F70044B5-F3E0-4616-9EF3-EF929860CFF4}"/>
            </a:ext>
          </a:extLst>
        </xdr:cNvPr>
        <xdr:cNvPicPr/>
      </xdr:nvPicPr>
      <xdr:blipFill>
        <a:blip xmlns:r="http://schemas.openxmlformats.org/officeDocument/2006/relationships" r:embed="rId7" cstate="print"/>
        <a:stretch>
          <a:fillRect/>
        </a:stretch>
      </xdr:blipFill>
      <xdr:spPr>
        <a:xfrm>
          <a:off x="6832930" y="1506914"/>
          <a:ext cx="2353143" cy="1072163"/>
        </a:xfrm>
        <a:prstGeom prst="rect">
          <a:avLst/>
        </a:prstGeom>
      </xdr:spPr>
    </xdr:pic>
    <xdr:clientData/>
  </xdr:twoCellAnchor>
  <xdr:twoCellAnchor editAs="oneCell">
    <xdr:from>
      <xdr:col>37</xdr:col>
      <xdr:colOff>219807</xdr:colOff>
      <xdr:row>7</xdr:row>
      <xdr:rowOff>114798</xdr:rowOff>
    </xdr:from>
    <xdr:to>
      <xdr:col>41</xdr:col>
      <xdr:colOff>37845</xdr:colOff>
      <xdr:row>14</xdr:row>
      <xdr:rowOff>117231</xdr:rowOff>
    </xdr:to>
    <xdr:pic>
      <xdr:nvPicPr>
        <xdr:cNvPr id="59" name="Image 3">
          <a:extLst>
            <a:ext uri="{FF2B5EF4-FFF2-40B4-BE49-F238E27FC236}">
              <a16:creationId xmlns:a16="http://schemas.microsoft.com/office/drawing/2014/main" id="{BE193256-614A-49F1-BF5B-EA18C02C11C1}"/>
            </a:ext>
          </a:extLst>
        </xdr:cNvPr>
        <xdr:cNvPicPr/>
      </xdr:nvPicPr>
      <xdr:blipFill>
        <a:blip xmlns:r="http://schemas.openxmlformats.org/officeDocument/2006/relationships" r:embed="rId8" cstate="print"/>
        <a:stretch>
          <a:fillRect/>
        </a:stretch>
      </xdr:blipFill>
      <xdr:spPr>
        <a:xfrm>
          <a:off x="22991884" y="1345721"/>
          <a:ext cx="2279884" cy="1233356"/>
        </a:xfrm>
        <a:prstGeom prst="rect">
          <a:avLst/>
        </a:prstGeom>
      </xdr:spPr>
    </xdr:pic>
    <xdr:clientData/>
  </xdr:twoCellAnchor>
  <xdr:oneCellAnchor>
    <xdr:from>
      <xdr:col>10</xdr:col>
      <xdr:colOff>385238</xdr:colOff>
      <xdr:row>20</xdr:row>
      <xdr:rowOff>95569</xdr:rowOff>
    </xdr:from>
    <xdr:ext cx="1207698" cy="280612"/>
    <xdr:sp macro="" textlink="">
      <xdr:nvSpPr>
        <xdr:cNvPr id="66" name="TextBox 65">
          <a:extLst>
            <a:ext uri="{FF2B5EF4-FFF2-40B4-BE49-F238E27FC236}">
              <a16:creationId xmlns:a16="http://schemas.microsoft.com/office/drawing/2014/main" id="{62930D7F-8002-429E-87AD-6684C15EA4C2}"/>
            </a:ext>
          </a:extLst>
        </xdr:cNvPr>
        <xdr:cNvSpPr txBox="1"/>
      </xdr:nvSpPr>
      <xdr:spPr>
        <a:xfrm>
          <a:off x="6539853" y="3612492"/>
          <a:ext cx="1207698" cy="2806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ZA" sz="2000" b="1" i="0" u="none" strike="noStrike">
              <a:solidFill>
                <a:schemeClr val="tx1"/>
              </a:solidFill>
              <a:effectLst/>
              <a:latin typeface="+mn-lt"/>
              <a:ea typeface="+mn-ea"/>
              <a:cs typeface="+mn-cs"/>
            </a:rPr>
            <a:t>R918 500</a:t>
          </a:r>
          <a:r>
            <a:rPr lang="en-ZA" sz="2000">
              <a:effectLst/>
            </a:rPr>
            <a:t> </a:t>
          </a:r>
          <a:endParaRPr lang="en-ZA" sz="2000" b="1">
            <a:solidFill>
              <a:schemeClr val="tx1"/>
            </a:solidFill>
          </a:endParaRPr>
        </a:p>
      </xdr:txBody>
    </xdr:sp>
    <xdr:clientData/>
  </xdr:oneCellAnchor>
  <xdr:twoCellAnchor>
    <xdr:from>
      <xdr:col>16</xdr:col>
      <xdr:colOff>571501</xdr:colOff>
      <xdr:row>17</xdr:row>
      <xdr:rowOff>161192</xdr:rowOff>
    </xdr:from>
    <xdr:to>
      <xdr:col>22</xdr:col>
      <xdr:colOff>424962</xdr:colOff>
      <xdr:row>23</xdr:row>
      <xdr:rowOff>146538</xdr:rowOff>
    </xdr:to>
    <xdr:sp macro="" textlink="">
      <xdr:nvSpPr>
        <xdr:cNvPr id="67" name="Rectangle: Rounded Corners 66">
          <a:extLst>
            <a:ext uri="{FF2B5EF4-FFF2-40B4-BE49-F238E27FC236}">
              <a16:creationId xmlns:a16="http://schemas.microsoft.com/office/drawing/2014/main" id="{F1117B49-AE70-B6CE-FB1B-9D036240F1BD}"/>
            </a:ext>
          </a:extLst>
        </xdr:cNvPr>
        <xdr:cNvSpPr/>
      </xdr:nvSpPr>
      <xdr:spPr>
        <a:xfrm>
          <a:off x="10418886" y="3150577"/>
          <a:ext cx="3546230" cy="1040423"/>
        </a:xfrm>
        <a:prstGeom prst="roundRect">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oneCellAnchor>
    <xdr:from>
      <xdr:col>17</xdr:col>
      <xdr:colOff>65538</xdr:colOff>
      <xdr:row>18</xdr:row>
      <xdr:rowOff>22928</xdr:rowOff>
    </xdr:from>
    <xdr:ext cx="2859906" cy="342851"/>
    <xdr:sp macro="" textlink="">
      <xdr:nvSpPr>
        <xdr:cNvPr id="69" name="TextBox 68">
          <a:extLst>
            <a:ext uri="{FF2B5EF4-FFF2-40B4-BE49-F238E27FC236}">
              <a16:creationId xmlns:a16="http://schemas.microsoft.com/office/drawing/2014/main" id="{FAB2116B-52A6-4A5F-8C4D-C95D725DD0A8}"/>
            </a:ext>
          </a:extLst>
        </xdr:cNvPr>
        <xdr:cNvSpPr txBox="1"/>
      </xdr:nvSpPr>
      <xdr:spPr>
        <a:xfrm>
          <a:off x="10528384" y="3188159"/>
          <a:ext cx="2859906"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1600" b="1">
              <a:solidFill>
                <a:schemeClr val="tx1"/>
              </a:solidFill>
            </a:rPr>
            <a:t>TOP</a:t>
          </a:r>
          <a:r>
            <a:rPr lang="en-ZA" sz="1600" b="1" baseline="0">
              <a:solidFill>
                <a:schemeClr val="tx1"/>
              </a:solidFill>
            </a:rPr>
            <a:t> SALESPERSON</a:t>
          </a:r>
          <a:endParaRPr lang="en-ZA" sz="1600" b="1">
            <a:solidFill>
              <a:schemeClr val="tx1"/>
            </a:solidFill>
          </a:endParaRPr>
        </a:p>
      </xdr:txBody>
    </xdr:sp>
    <xdr:clientData/>
  </xdr:oneCellAnchor>
  <xdr:twoCellAnchor editAs="oneCell">
    <xdr:from>
      <xdr:col>21</xdr:col>
      <xdr:colOff>119618</xdr:colOff>
      <xdr:row>18</xdr:row>
      <xdr:rowOff>67998</xdr:rowOff>
    </xdr:from>
    <xdr:to>
      <xdr:col>22</xdr:col>
      <xdr:colOff>430768</xdr:colOff>
      <xdr:row>23</xdr:row>
      <xdr:rowOff>42596</xdr:rowOff>
    </xdr:to>
    <xdr:pic>
      <xdr:nvPicPr>
        <xdr:cNvPr id="71" name="Graphic 70" descr="Male profile with solid fill">
          <a:extLst>
            <a:ext uri="{FF2B5EF4-FFF2-40B4-BE49-F238E27FC236}">
              <a16:creationId xmlns:a16="http://schemas.microsoft.com/office/drawing/2014/main" id="{F010C8FB-5982-AE75-E3F3-572F86D5DC5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044310" y="3233229"/>
          <a:ext cx="926612" cy="853829"/>
        </a:xfrm>
        <a:prstGeom prst="rect">
          <a:avLst/>
        </a:prstGeom>
      </xdr:spPr>
    </xdr:pic>
    <xdr:clientData/>
  </xdr:twoCellAnchor>
  <xdr:oneCellAnchor>
    <xdr:from>
      <xdr:col>17</xdr:col>
      <xdr:colOff>57515</xdr:colOff>
      <xdr:row>20</xdr:row>
      <xdr:rowOff>98442</xdr:rowOff>
    </xdr:from>
    <xdr:ext cx="1979370" cy="405432"/>
    <xdr:sp macro="" textlink="">
      <xdr:nvSpPr>
        <xdr:cNvPr id="73" name="TextBox 72">
          <a:extLst>
            <a:ext uri="{FF2B5EF4-FFF2-40B4-BE49-F238E27FC236}">
              <a16:creationId xmlns:a16="http://schemas.microsoft.com/office/drawing/2014/main" id="{E50D3501-2AC1-4423-BA64-6E0A295B1FDD}"/>
            </a:ext>
          </a:extLst>
        </xdr:cNvPr>
        <xdr:cNvSpPr txBox="1"/>
      </xdr:nvSpPr>
      <xdr:spPr>
        <a:xfrm>
          <a:off x="10520361" y="3615365"/>
          <a:ext cx="197937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2000" b="1" i="0" u="none" strike="noStrike">
              <a:solidFill>
                <a:schemeClr val="tx1"/>
              </a:solidFill>
              <a:effectLst/>
              <a:latin typeface="+mn-lt"/>
              <a:ea typeface="+mn-ea"/>
              <a:cs typeface="+mn-cs"/>
            </a:rPr>
            <a:t>David   </a:t>
          </a:r>
          <a:r>
            <a:rPr lang="en-ZA" sz="2000" b="0" i="0" u="none" strike="noStrike">
              <a:solidFill>
                <a:schemeClr val="accent6">
                  <a:lumMod val="75000"/>
                </a:schemeClr>
              </a:solidFill>
              <a:effectLst/>
              <a:latin typeface="+mn-lt"/>
              <a:ea typeface="+mn-ea"/>
              <a:cs typeface="+mn-cs"/>
            </a:rPr>
            <a:t>30.08%</a:t>
          </a:r>
          <a:r>
            <a:rPr lang="en-ZA" sz="2000">
              <a:solidFill>
                <a:schemeClr val="accent6">
                  <a:lumMod val="75000"/>
                </a:schemeClr>
              </a:solidFill>
              <a:effectLst/>
            </a:rPr>
            <a:t> </a:t>
          </a:r>
          <a:endParaRPr lang="en-ZA" sz="2000" b="1">
            <a:solidFill>
              <a:schemeClr val="accent6">
                <a:lumMod val="75000"/>
              </a:schemeClr>
            </a:solidFill>
          </a:endParaRPr>
        </a:p>
      </xdr:txBody>
    </xdr:sp>
    <xdr:clientData/>
  </xdr:oneCellAnchor>
  <xdr:twoCellAnchor>
    <xdr:from>
      <xdr:col>23</xdr:col>
      <xdr:colOff>424961</xdr:colOff>
      <xdr:row>17</xdr:row>
      <xdr:rowOff>174481</xdr:rowOff>
    </xdr:from>
    <xdr:to>
      <xdr:col>29</xdr:col>
      <xdr:colOff>220132</xdr:colOff>
      <xdr:row>23</xdr:row>
      <xdr:rowOff>131884</xdr:rowOff>
    </xdr:to>
    <xdr:sp macro="" textlink="">
      <xdr:nvSpPr>
        <xdr:cNvPr id="74" name="Rectangle: Rounded Corners 73">
          <a:extLst>
            <a:ext uri="{FF2B5EF4-FFF2-40B4-BE49-F238E27FC236}">
              <a16:creationId xmlns:a16="http://schemas.microsoft.com/office/drawing/2014/main" id="{43BE04C6-E75D-1933-872A-DF24E5DDA391}"/>
            </a:ext>
          </a:extLst>
        </xdr:cNvPr>
        <xdr:cNvSpPr/>
      </xdr:nvSpPr>
      <xdr:spPr>
        <a:xfrm>
          <a:off x="14580576" y="3163866"/>
          <a:ext cx="3487941" cy="1012480"/>
        </a:xfrm>
        <a:prstGeom prst="roundRect">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oneCellAnchor>
    <xdr:from>
      <xdr:col>23</xdr:col>
      <xdr:colOff>512885</xdr:colOff>
      <xdr:row>18</xdr:row>
      <xdr:rowOff>80658</xdr:rowOff>
    </xdr:from>
    <xdr:ext cx="3618865" cy="342851"/>
    <xdr:sp macro="" textlink="">
      <xdr:nvSpPr>
        <xdr:cNvPr id="76" name="TextBox 75">
          <a:extLst>
            <a:ext uri="{FF2B5EF4-FFF2-40B4-BE49-F238E27FC236}">
              <a16:creationId xmlns:a16="http://schemas.microsoft.com/office/drawing/2014/main" id="{0CB7BA82-D96F-4E48-B66E-FF7320D1A9F3}"/>
            </a:ext>
          </a:extLst>
        </xdr:cNvPr>
        <xdr:cNvSpPr txBox="1"/>
      </xdr:nvSpPr>
      <xdr:spPr>
        <a:xfrm>
          <a:off x="14668500" y="3245889"/>
          <a:ext cx="3618865"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1600" b="1">
              <a:solidFill>
                <a:schemeClr val="tx1"/>
              </a:solidFill>
            </a:rPr>
            <a:t>TOP</a:t>
          </a:r>
          <a:r>
            <a:rPr lang="en-ZA" sz="1600" b="1" baseline="0">
              <a:solidFill>
                <a:schemeClr val="tx1"/>
              </a:solidFill>
            </a:rPr>
            <a:t> PERFORMING REGION</a:t>
          </a:r>
          <a:endParaRPr lang="en-ZA" sz="1600" b="1">
            <a:solidFill>
              <a:schemeClr val="tx1"/>
            </a:solidFill>
          </a:endParaRPr>
        </a:p>
      </xdr:txBody>
    </xdr:sp>
    <xdr:clientData/>
  </xdr:oneCellAnchor>
  <xdr:twoCellAnchor editAs="oneCell">
    <xdr:from>
      <xdr:col>27</xdr:col>
      <xdr:colOff>420943</xdr:colOff>
      <xdr:row>18</xdr:row>
      <xdr:rowOff>118248</xdr:rowOff>
    </xdr:from>
    <xdr:to>
      <xdr:col>29</xdr:col>
      <xdr:colOff>117231</xdr:colOff>
      <xdr:row>23</xdr:row>
      <xdr:rowOff>80148</xdr:rowOff>
    </xdr:to>
    <xdr:pic>
      <xdr:nvPicPr>
        <xdr:cNvPr id="78" name="Graphic 77" descr="Earth globe: Americas with solid fill">
          <a:extLst>
            <a:ext uri="{FF2B5EF4-FFF2-40B4-BE49-F238E27FC236}">
              <a16:creationId xmlns:a16="http://schemas.microsoft.com/office/drawing/2014/main" id="{42A8B4FC-C2C4-A13D-DC0F-EBE26D918CB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7038405" y="3283479"/>
          <a:ext cx="927211" cy="841131"/>
        </a:xfrm>
        <a:prstGeom prst="rect">
          <a:avLst/>
        </a:prstGeom>
      </xdr:spPr>
    </xdr:pic>
    <xdr:clientData/>
  </xdr:twoCellAnchor>
  <xdr:oneCellAnchor>
    <xdr:from>
      <xdr:col>23</xdr:col>
      <xdr:colOff>512885</xdr:colOff>
      <xdr:row>20</xdr:row>
      <xdr:rowOff>131073</xdr:rowOff>
    </xdr:from>
    <xdr:ext cx="1670538" cy="405432"/>
    <xdr:sp macro="" textlink="">
      <xdr:nvSpPr>
        <xdr:cNvPr id="79" name="TextBox 78">
          <a:extLst>
            <a:ext uri="{FF2B5EF4-FFF2-40B4-BE49-F238E27FC236}">
              <a16:creationId xmlns:a16="http://schemas.microsoft.com/office/drawing/2014/main" id="{E529BE76-A294-468D-8361-DC00E3677C15}"/>
            </a:ext>
          </a:extLst>
        </xdr:cNvPr>
        <xdr:cNvSpPr txBox="1"/>
      </xdr:nvSpPr>
      <xdr:spPr>
        <a:xfrm>
          <a:off x="14668500" y="3647996"/>
          <a:ext cx="167053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2000" b="1">
              <a:solidFill>
                <a:schemeClr val="tx1"/>
              </a:solidFill>
            </a:rPr>
            <a:t>East     </a:t>
          </a:r>
          <a:r>
            <a:rPr lang="en-ZA" sz="2000" b="0" i="0" u="none" strike="noStrike">
              <a:solidFill>
                <a:schemeClr val="accent6">
                  <a:lumMod val="75000"/>
                </a:schemeClr>
              </a:solidFill>
              <a:effectLst/>
              <a:latin typeface="+mn-lt"/>
              <a:ea typeface="+mn-ea"/>
              <a:cs typeface="+mn-cs"/>
            </a:rPr>
            <a:t>29.40%</a:t>
          </a:r>
          <a:r>
            <a:rPr lang="en-ZA" sz="2000">
              <a:solidFill>
                <a:schemeClr val="accent6">
                  <a:lumMod val="75000"/>
                </a:schemeClr>
              </a:solidFill>
              <a:effectLst/>
            </a:rPr>
            <a:t> </a:t>
          </a:r>
          <a:endParaRPr lang="en-ZA" sz="2000" b="1">
            <a:solidFill>
              <a:schemeClr val="accent6">
                <a:lumMod val="75000"/>
              </a:schemeClr>
            </a:solidFill>
          </a:endParaRPr>
        </a:p>
      </xdr:txBody>
    </xdr:sp>
    <xdr:clientData/>
  </xdr:oneCellAnchor>
  <xdr:twoCellAnchor>
    <xdr:from>
      <xdr:col>30</xdr:col>
      <xdr:colOff>76200</xdr:colOff>
      <xdr:row>17</xdr:row>
      <xdr:rowOff>131884</xdr:rowOff>
    </xdr:from>
    <xdr:to>
      <xdr:col>35</xdr:col>
      <xdr:colOff>395653</xdr:colOff>
      <xdr:row>23</xdr:row>
      <xdr:rowOff>131884</xdr:rowOff>
    </xdr:to>
    <xdr:sp macro="" textlink="">
      <xdr:nvSpPr>
        <xdr:cNvPr id="81" name="Rectangle: Rounded Corners 80">
          <a:extLst>
            <a:ext uri="{FF2B5EF4-FFF2-40B4-BE49-F238E27FC236}">
              <a16:creationId xmlns:a16="http://schemas.microsoft.com/office/drawing/2014/main" id="{98A31210-7FC1-4072-98AA-FA084E053C79}"/>
            </a:ext>
          </a:extLst>
        </xdr:cNvPr>
        <xdr:cNvSpPr/>
      </xdr:nvSpPr>
      <xdr:spPr>
        <a:xfrm>
          <a:off x="18364200" y="3240844"/>
          <a:ext cx="3367453" cy="1097280"/>
        </a:xfrm>
        <a:prstGeom prst="roundRect">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oneCell">
    <xdr:from>
      <xdr:col>34</xdr:col>
      <xdr:colOff>79242</xdr:colOff>
      <xdr:row>18</xdr:row>
      <xdr:rowOff>126530</xdr:rowOff>
    </xdr:from>
    <xdr:to>
      <xdr:col>35</xdr:col>
      <xdr:colOff>395653</xdr:colOff>
      <xdr:row>23</xdr:row>
      <xdr:rowOff>80148</xdr:rowOff>
    </xdr:to>
    <xdr:pic>
      <xdr:nvPicPr>
        <xdr:cNvPr id="83" name="Graphic 82" descr="Smart Phone with solid fill">
          <a:extLst>
            <a:ext uri="{FF2B5EF4-FFF2-40B4-BE49-F238E27FC236}">
              <a16:creationId xmlns:a16="http://schemas.microsoft.com/office/drawing/2014/main" id="{D8E5A956-43EA-1B1E-073D-1EC5B9DE27E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1004934" y="3291761"/>
          <a:ext cx="931873" cy="832849"/>
        </a:xfrm>
        <a:prstGeom prst="rect">
          <a:avLst/>
        </a:prstGeom>
      </xdr:spPr>
    </xdr:pic>
    <xdr:clientData/>
  </xdr:twoCellAnchor>
  <xdr:oneCellAnchor>
    <xdr:from>
      <xdr:col>30</xdr:col>
      <xdr:colOff>190663</xdr:colOff>
      <xdr:row>18</xdr:row>
      <xdr:rowOff>46072</xdr:rowOff>
    </xdr:from>
    <xdr:ext cx="2705315" cy="342851"/>
    <xdr:sp macro="" textlink="">
      <xdr:nvSpPr>
        <xdr:cNvPr id="85" name="TextBox 84">
          <a:extLst>
            <a:ext uri="{FF2B5EF4-FFF2-40B4-BE49-F238E27FC236}">
              <a16:creationId xmlns:a16="http://schemas.microsoft.com/office/drawing/2014/main" id="{776E1729-B48B-4529-BB85-7B6E79E67A83}"/>
            </a:ext>
          </a:extLst>
        </xdr:cNvPr>
        <xdr:cNvSpPr txBox="1"/>
      </xdr:nvSpPr>
      <xdr:spPr>
        <a:xfrm>
          <a:off x="18654509" y="3211303"/>
          <a:ext cx="2705315"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1600" b="1">
              <a:solidFill>
                <a:schemeClr val="tx1"/>
              </a:solidFill>
            </a:rPr>
            <a:t>TOP</a:t>
          </a:r>
          <a:r>
            <a:rPr lang="en-ZA" sz="1600" b="1" baseline="0">
              <a:solidFill>
                <a:schemeClr val="tx1"/>
              </a:solidFill>
            </a:rPr>
            <a:t> PERFORMING PRODUCT</a:t>
          </a:r>
          <a:endParaRPr lang="en-ZA" sz="1600" b="1">
            <a:solidFill>
              <a:schemeClr val="tx1"/>
            </a:solidFill>
          </a:endParaRPr>
        </a:p>
      </xdr:txBody>
    </xdr:sp>
    <xdr:clientData/>
  </xdr:oneCellAnchor>
  <xdr:oneCellAnchor>
    <xdr:from>
      <xdr:col>30</xdr:col>
      <xdr:colOff>219971</xdr:colOff>
      <xdr:row>20</xdr:row>
      <xdr:rowOff>164649</xdr:rowOff>
    </xdr:from>
    <xdr:ext cx="1970837" cy="405432"/>
    <xdr:sp macro="" textlink="">
      <xdr:nvSpPr>
        <xdr:cNvPr id="86" name="TextBox 85">
          <a:extLst>
            <a:ext uri="{FF2B5EF4-FFF2-40B4-BE49-F238E27FC236}">
              <a16:creationId xmlns:a16="http://schemas.microsoft.com/office/drawing/2014/main" id="{5980D58F-012A-445B-B6DE-463EB1EE1D44}"/>
            </a:ext>
          </a:extLst>
        </xdr:cNvPr>
        <xdr:cNvSpPr txBox="1"/>
      </xdr:nvSpPr>
      <xdr:spPr>
        <a:xfrm>
          <a:off x="18683817" y="3681572"/>
          <a:ext cx="197083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2000" b="1">
              <a:solidFill>
                <a:schemeClr val="tx1"/>
              </a:solidFill>
            </a:rPr>
            <a:t>Phone    </a:t>
          </a:r>
          <a:r>
            <a:rPr lang="en-ZA" sz="2000" b="0" i="0" u="none" strike="noStrike">
              <a:solidFill>
                <a:schemeClr val="accent6">
                  <a:lumMod val="75000"/>
                </a:schemeClr>
              </a:solidFill>
              <a:effectLst/>
              <a:latin typeface="+mn-lt"/>
              <a:ea typeface="+mn-ea"/>
              <a:cs typeface="+mn-cs"/>
            </a:rPr>
            <a:t>47.90%</a:t>
          </a:r>
          <a:r>
            <a:rPr lang="en-ZA" sz="2000">
              <a:solidFill>
                <a:schemeClr val="accent6">
                  <a:lumMod val="75000"/>
                </a:schemeClr>
              </a:solidFill>
              <a:effectLst/>
            </a:rPr>
            <a:t> </a:t>
          </a:r>
          <a:endParaRPr lang="en-ZA" sz="2000" b="1">
            <a:solidFill>
              <a:schemeClr val="accent6">
                <a:lumMod val="75000"/>
              </a:schemeClr>
            </a:solidFill>
          </a:endParaRPr>
        </a:p>
      </xdr:txBody>
    </xdr:sp>
    <xdr:clientData/>
  </xdr:oneCellAnchor>
  <xdr:twoCellAnchor>
    <xdr:from>
      <xdr:col>36</xdr:col>
      <xdr:colOff>219808</xdr:colOff>
      <xdr:row>17</xdr:row>
      <xdr:rowOff>153854</xdr:rowOff>
    </xdr:from>
    <xdr:to>
      <xdr:col>41</xdr:col>
      <xdr:colOff>586154</xdr:colOff>
      <xdr:row>23</xdr:row>
      <xdr:rowOff>131884</xdr:rowOff>
    </xdr:to>
    <xdr:sp macro="" textlink="">
      <xdr:nvSpPr>
        <xdr:cNvPr id="88" name="Rectangle: Rounded Corners 87">
          <a:extLst>
            <a:ext uri="{FF2B5EF4-FFF2-40B4-BE49-F238E27FC236}">
              <a16:creationId xmlns:a16="http://schemas.microsoft.com/office/drawing/2014/main" id="{54454F04-BA36-41A2-AAD2-8FE9AD17AC8C}"/>
            </a:ext>
          </a:extLst>
        </xdr:cNvPr>
        <xdr:cNvSpPr/>
      </xdr:nvSpPr>
      <xdr:spPr>
        <a:xfrm>
          <a:off x="22376423" y="3143239"/>
          <a:ext cx="3443654" cy="1033107"/>
        </a:xfrm>
        <a:prstGeom prst="roundRect">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oneCellAnchor>
    <xdr:from>
      <xdr:col>36</xdr:col>
      <xdr:colOff>337039</xdr:colOff>
      <xdr:row>18</xdr:row>
      <xdr:rowOff>35629</xdr:rowOff>
    </xdr:from>
    <xdr:ext cx="3618865" cy="342851"/>
    <xdr:sp macro="" textlink="">
      <xdr:nvSpPr>
        <xdr:cNvPr id="90" name="TextBox 89">
          <a:extLst>
            <a:ext uri="{FF2B5EF4-FFF2-40B4-BE49-F238E27FC236}">
              <a16:creationId xmlns:a16="http://schemas.microsoft.com/office/drawing/2014/main" id="{DBEF8880-009F-41AA-8783-CA2D3193E4CB}"/>
            </a:ext>
          </a:extLst>
        </xdr:cNvPr>
        <xdr:cNvSpPr txBox="1"/>
      </xdr:nvSpPr>
      <xdr:spPr>
        <a:xfrm>
          <a:off x="22493654" y="3200860"/>
          <a:ext cx="3618865"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1600" b="1">
              <a:solidFill>
                <a:schemeClr val="tx1"/>
              </a:solidFill>
            </a:rPr>
            <a:t>TOP</a:t>
          </a:r>
          <a:r>
            <a:rPr lang="en-ZA" sz="1600" b="1" baseline="0">
              <a:solidFill>
                <a:schemeClr val="tx1"/>
              </a:solidFill>
            </a:rPr>
            <a:t> PERFORMING MONTH</a:t>
          </a:r>
          <a:endParaRPr lang="en-ZA" sz="1600" b="1">
            <a:solidFill>
              <a:schemeClr val="tx1"/>
            </a:solidFill>
          </a:endParaRPr>
        </a:p>
      </xdr:txBody>
    </xdr:sp>
    <xdr:clientData/>
  </xdr:oneCellAnchor>
  <xdr:oneCellAnchor>
    <xdr:from>
      <xdr:col>36</xdr:col>
      <xdr:colOff>366347</xdr:colOff>
      <xdr:row>20</xdr:row>
      <xdr:rowOff>160626</xdr:rowOff>
    </xdr:from>
    <xdr:ext cx="2118947" cy="405432"/>
    <xdr:sp macro="" textlink="">
      <xdr:nvSpPr>
        <xdr:cNvPr id="92" name="TextBox 91">
          <a:extLst>
            <a:ext uri="{FF2B5EF4-FFF2-40B4-BE49-F238E27FC236}">
              <a16:creationId xmlns:a16="http://schemas.microsoft.com/office/drawing/2014/main" id="{357DBC38-DF57-44F4-9A70-74EB8174E9EC}"/>
            </a:ext>
          </a:extLst>
        </xdr:cNvPr>
        <xdr:cNvSpPr txBox="1"/>
      </xdr:nvSpPr>
      <xdr:spPr>
        <a:xfrm>
          <a:off x="22522962" y="3677549"/>
          <a:ext cx="211894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2000" b="1">
              <a:solidFill>
                <a:schemeClr val="tx1"/>
              </a:solidFill>
            </a:rPr>
            <a:t>April    </a:t>
          </a:r>
          <a:r>
            <a:rPr lang="en-ZA" sz="2000" b="0" i="0" u="none" strike="noStrike">
              <a:solidFill>
                <a:schemeClr val="accent6">
                  <a:lumMod val="75000"/>
                </a:schemeClr>
              </a:solidFill>
              <a:effectLst/>
              <a:latin typeface="+mn-lt"/>
              <a:ea typeface="+mn-ea"/>
              <a:cs typeface="+mn-cs"/>
            </a:rPr>
            <a:t>30.38%</a:t>
          </a:r>
          <a:r>
            <a:rPr lang="en-ZA" sz="2000">
              <a:solidFill>
                <a:schemeClr val="accent6">
                  <a:lumMod val="75000"/>
                </a:schemeClr>
              </a:solidFill>
              <a:effectLst/>
            </a:rPr>
            <a:t> </a:t>
          </a:r>
          <a:endParaRPr lang="en-ZA" sz="2000" b="1">
            <a:solidFill>
              <a:schemeClr val="accent6">
                <a:lumMod val="75000"/>
              </a:schemeClr>
            </a:solidFill>
          </a:endParaRPr>
        </a:p>
      </xdr:txBody>
    </xdr:sp>
    <xdr:clientData/>
  </xdr:oneCellAnchor>
  <xdr:twoCellAnchor editAs="oneCell">
    <xdr:from>
      <xdr:col>40</xdr:col>
      <xdr:colOff>303294</xdr:colOff>
      <xdr:row>19</xdr:row>
      <xdr:rowOff>40176</xdr:rowOff>
    </xdr:from>
    <xdr:to>
      <xdr:col>41</xdr:col>
      <xdr:colOff>418846</xdr:colOff>
      <xdr:row>23</xdr:row>
      <xdr:rowOff>50840</xdr:rowOff>
    </xdr:to>
    <xdr:pic>
      <xdr:nvPicPr>
        <xdr:cNvPr id="94" name="Graphic 93" descr="Daily calendar with solid fill">
          <a:extLst>
            <a:ext uri="{FF2B5EF4-FFF2-40B4-BE49-F238E27FC236}">
              <a16:creationId xmlns:a16="http://schemas.microsoft.com/office/drawing/2014/main" id="{9D966499-79F4-6870-3183-47BAE4290D7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4921756" y="3381253"/>
          <a:ext cx="731013" cy="714049"/>
        </a:xfrm>
        <a:prstGeom prst="rect">
          <a:avLst/>
        </a:prstGeom>
      </xdr:spPr>
    </xdr:pic>
    <xdr:clientData/>
  </xdr:twoCellAnchor>
  <xdr:twoCellAnchor editAs="oneCell">
    <xdr:from>
      <xdr:col>20</xdr:col>
      <xdr:colOff>234680</xdr:colOff>
      <xdr:row>7</xdr:row>
      <xdr:rowOff>160866</xdr:rowOff>
    </xdr:from>
    <xdr:to>
      <xdr:col>21</xdr:col>
      <xdr:colOff>539480</xdr:colOff>
      <xdr:row>13</xdr:row>
      <xdr:rowOff>0</xdr:rowOff>
    </xdr:to>
    <xdr:pic>
      <xdr:nvPicPr>
        <xdr:cNvPr id="96" name="Graphic 95" descr="Bar graph with upward trend with solid fill">
          <a:extLst>
            <a:ext uri="{FF2B5EF4-FFF2-40B4-BE49-F238E27FC236}">
              <a16:creationId xmlns:a16="http://schemas.microsoft.com/office/drawing/2014/main" id="{0B34E7A4-4AF5-0FF3-9AD2-750525C1C4B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426680" y="1464733"/>
          <a:ext cx="914400" cy="956734"/>
        </a:xfrm>
        <a:prstGeom prst="rect">
          <a:avLst/>
        </a:prstGeom>
      </xdr:spPr>
    </xdr:pic>
    <xdr:clientData/>
  </xdr:twoCellAnchor>
  <xdr:twoCellAnchor>
    <xdr:from>
      <xdr:col>22</xdr:col>
      <xdr:colOff>460075</xdr:colOff>
      <xdr:row>25</xdr:row>
      <xdr:rowOff>146537</xdr:rowOff>
    </xdr:from>
    <xdr:to>
      <xdr:col>29</xdr:col>
      <xdr:colOff>220133</xdr:colOff>
      <xdr:row>71</xdr:row>
      <xdr:rowOff>175845</xdr:rowOff>
    </xdr:to>
    <xdr:sp macro="" textlink="">
      <xdr:nvSpPr>
        <xdr:cNvPr id="2" name="Rectangle: Rounded Corners 1">
          <a:extLst>
            <a:ext uri="{FF2B5EF4-FFF2-40B4-BE49-F238E27FC236}">
              <a16:creationId xmlns:a16="http://schemas.microsoft.com/office/drawing/2014/main" id="{E113A9EC-2A53-8881-4792-FA288CC1932F}"/>
            </a:ext>
          </a:extLst>
        </xdr:cNvPr>
        <xdr:cNvSpPr/>
      </xdr:nvSpPr>
      <xdr:spPr>
        <a:xfrm>
          <a:off x="14000229" y="4542691"/>
          <a:ext cx="4068289" cy="8118231"/>
        </a:xfrm>
        <a:prstGeom prst="roundRect">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23</xdr:col>
      <xdr:colOff>265757</xdr:colOff>
      <xdr:row>26</xdr:row>
      <xdr:rowOff>178191</xdr:rowOff>
    </xdr:from>
    <xdr:to>
      <xdr:col>28</xdr:col>
      <xdr:colOff>464449</xdr:colOff>
      <xdr:row>35</xdr:row>
      <xdr:rowOff>163538</xdr:rowOff>
    </xdr:to>
    <mc:AlternateContent xmlns:mc="http://schemas.openxmlformats.org/markup-compatibility/2006">
      <mc:Choice xmlns:a14="http://schemas.microsoft.com/office/drawing/2010/main" Requires="a14">
        <xdr:graphicFrame macro="">
          <xdr:nvGraphicFramePr>
            <xdr:cNvPr id="3" name="region 2">
              <a:extLst>
                <a:ext uri="{FF2B5EF4-FFF2-40B4-BE49-F238E27FC236}">
                  <a16:creationId xmlns:a16="http://schemas.microsoft.com/office/drawing/2014/main" id="{DD9EA5DF-F170-480C-9758-3113A436612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4286557" y="4933071"/>
              <a:ext cx="3246692" cy="163126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296237</xdr:colOff>
      <xdr:row>36</xdr:row>
      <xdr:rowOff>145455</xdr:rowOff>
    </xdr:from>
    <xdr:to>
      <xdr:col>28</xdr:col>
      <xdr:colOff>458929</xdr:colOff>
      <xdr:row>48</xdr:row>
      <xdr:rowOff>134230</xdr:rowOff>
    </xdr:to>
    <mc:AlternateContent xmlns:mc="http://schemas.openxmlformats.org/markup-compatibility/2006">
      <mc:Choice xmlns:a14="http://schemas.microsoft.com/office/drawing/2010/main" Requires="a14">
        <xdr:graphicFrame macro="">
          <xdr:nvGraphicFramePr>
            <xdr:cNvPr id="5" name="salesperson 2">
              <a:extLst>
                <a:ext uri="{FF2B5EF4-FFF2-40B4-BE49-F238E27FC236}">
                  <a16:creationId xmlns:a16="http://schemas.microsoft.com/office/drawing/2014/main" id="{3D1B2E0D-E420-4A9A-B399-79B4205902C6}"/>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dr:sp macro="" textlink="">
          <xdr:nvSpPr>
            <xdr:cNvPr id="0" name=""/>
            <xdr:cNvSpPr>
              <a:spLocks noTextEdit="1"/>
            </xdr:cNvSpPr>
          </xdr:nvSpPr>
          <xdr:spPr>
            <a:xfrm>
              <a:off x="14317037" y="6729135"/>
              <a:ext cx="3210692" cy="218333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282170</xdr:colOff>
      <xdr:row>49</xdr:row>
      <xdr:rowOff>122084</xdr:rowOff>
    </xdr:from>
    <xdr:to>
      <xdr:col>28</xdr:col>
      <xdr:colOff>444862</xdr:colOff>
      <xdr:row>61</xdr:row>
      <xdr:rowOff>90855</xdr:rowOff>
    </xdr:to>
    <mc:AlternateContent xmlns:mc="http://schemas.openxmlformats.org/markup-compatibility/2006">
      <mc:Choice xmlns:a14="http://schemas.microsoft.com/office/drawing/2010/main" Requires="a14">
        <xdr:graphicFrame macro="">
          <xdr:nvGraphicFramePr>
            <xdr:cNvPr id="7" name="product 2">
              <a:extLst>
                <a:ext uri="{FF2B5EF4-FFF2-40B4-BE49-F238E27FC236}">
                  <a16:creationId xmlns:a16="http://schemas.microsoft.com/office/drawing/2014/main" id="{529802C6-5EDA-4661-9648-8D9550744E19}"/>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14302970" y="9083204"/>
              <a:ext cx="3210692" cy="216333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281584</xdr:colOff>
      <xdr:row>62</xdr:row>
      <xdr:rowOff>45117</xdr:rowOff>
    </xdr:from>
    <xdr:to>
      <xdr:col>28</xdr:col>
      <xdr:colOff>444276</xdr:colOff>
      <xdr:row>70</xdr:row>
      <xdr:rowOff>58617</xdr:rowOff>
    </xdr:to>
    <mc:AlternateContent xmlns:mc="http://schemas.openxmlformats.org/markup-compatibility/2006">
      <mc:Choice xmlns:a14="http://schemas.microsoft.com/office/drawing/2010/main" Requires="a14">
        <xdr:graphicFrame macro="">
          <xdr:nvGraphicFramePr>
            <xdr:cNvPr id="9" name="Months (date) 2">
              <a:extLst>
                <a:ext uri="{FF2B5EF4-FFF2-40B4-BE49-F238E27FC236}">
                  <a16:creationId xmlns:a16="http://schemas.microsoft.com/office/drawing/2014/main" id="{901E4D0A-5577-44CA-8885-1BEB81EF549E}"/>
                </a:ext>
              </a:extLst>
            </xdr:cNvPr>
            <xdr:cNvGraphicFramePr/>
          </xdr:nvGraphicFramePr>
          <xdr:xfrm>
            <a:off x="0" y="0"/>
            <a:ext cx="0" cy="0"/>
          </xdr:xfrm>
          <a:graphic>
            <a:graphicData uri="http://schemas.microsoft.com/office/drawing/2010/slicer">
              <sle:slicer xmlns:sle="http://schemas.microsoft.com/office/drawing/2010/slicer" name="Months (date) 2"/>
            </a:graphicData>
          </a:graphic>
        </xdr:graphicFrame>
      </mc:Choice>
      <mc:Fallback>
        <xdr:sp macro="" textlink="">
          <xdr:nvSpPr>
            <xdr:cNvPr id="0" name=""/>
            <xdr:cNvSpPr>
              <a:spLocks noTextEdit="1"/>
            </xdr:cNvSpPr>
          </xdr:nvSpPr>
          <xdr:spPr>
            <a:xfrm>
              <a:off x="14302384" y="11383677"/>
              <a:ext cx="3210692" cy="14765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bulane Poulo" refreshedDate="46133.452872106478" createdVersion="8" refreshedVersion="8" minRefreshableVersion="3" recordCount="50" xr:uid="{5CD08E8D-0579-4F82-8833-4918A091DA09}">
  <cacheSource type="worksheet">
    <worksheetSource name="clean_sales"/>
  </cacheSource>
  <cacheFields count="14">
    <cacheField name="transaction_id" numFmtId="0">
      <sharedItems containsSemiMixedTypes="0" containsString="0" containsNumber="1" containsInteger="1" minValue="1001" maxValue="1050"/>
    </cacheField>
    <cacheField name="date" numFmtId="14">
      <sharedItems containsSemiMixedTypes="0" containsNonDate="0" containsDate="1" containsString="0" minDate="2024-01-05T00:00:00" maxDate="2024-05-01T00:00:00" count="50">
        <d v="2024-01-20T00:00:00"/>
        <d v="2024-02-15T00:00:00"/>
        <d v="2024-02-25T00:00:00"/>
        <d v="2024-03-08T00:00:00"/>
        <d v="2024-03-10T00:00:00"/>
        <d v="2024-03-30T00:00:00"/>
        <d v="2024-04-08T00:00:00"/>
        <d v="2024-04-20T00:00:00"/>
        <d v="2024-01-15T00:00:00"/>
        <d v="2024-02-01T00:00:00"/>
        <d v="2024-03-18T00:00:00"/>
        <d v="2024-04-18T00:00:00"/>
        <d v="2024-04-28T00:00:00"/>
        <d v="2024-02-03T00:00:00"/>
        <d v="2024-02-12T00:00:00"/>
        <d v="2024-02-28T00:00:00"/>
        <d v="2024-03-20T00:00:00"/>
        <d v="2024-03-28T00:00:00"/>
        <d v="2024-04-10T00:00:00"/>
        <d v="2024-04-30T00:00:00"/>
        <d v="2024-01-22T00:00:00"/>
        <d v="2024-01-28T00:00:00"/>
        <d v="2024-02-18T00:00:00"/>
        <d v="2024-02-22T00:00:00"/>
        <d v="2024-03-12T00:00:00"/>
        <d v="2024-03-16T00:00:00"/>
        <d v="2024-04-02T00:00:00"/>
        <d v="2024-04-06T00:00:00"/>
        <d v="2024-04-22T00:00:00"/>
        <d v="2024-04-26T00:00:00"/>
        <d v="2024-01-10T00:00:00"/>
        <d v="2024-02-10T00:00:00"/>
        <d v="2024-03-06T00:00:00"/>
        <d v="2024-03-26T00:00:00"/>
        <d v="2024-04-16T00:00:00"/>
        <d v="2024-01-05T00:00:00"/>
        <d v="2024-02-05T00:00:00"/>
        <d v="2024-03-02T00:00:00"/>
        <d v="2024-03-22T00:00:00"/>
        <d v="2024-04-12T00:00:00"/>
        <d v="2024-02-07T00:00:00"/>
        <d v="2024-03-24T00:00:00"/>
        <d v="2024-01-07T00:00:00"/>
        <d v="2024-03-04T00:00:00"/>
        <d v="2024-04-14T00:00:00"/>
        <d v="2024-01-25T00:00:00"/>
        <d v="2024-03-14T00:00:00"/>
        <d v="2024-04-24T00:00:00"/>
        <d v="2024-02-20T00:00:00"/>
        <d v="2024-04-04T00:00:00"/>
      </sharedItems>
      <fieldGroup par="13"/>
    </cacheField>
    <cacheField name="product" numFmtId="0">
      <sharedItems count="5">
        <s v="Desk"/>
        <s v="Chair"/>
        <s v="Laptop"/>
        <s v="Tablet"/>
        <s v="Phone"/>
      </sharedItems>
    </cacheField>
    <cacheField name="category" numFmtId="0">
      <sharedItems count="2">
        <s v="Furniture"/>
        <s v="Electronics"/>
      </sharedItems>
    </cacheField>
    <cacheField name="quantity" numFmtId="0">
      <sharedItems containsSemiMixedTypes="0" containsString="0" containsNumber="1" containsInteger="1" minValue="1" maxValue="7"/>
    </cacheField>
    <cacheField name="price" numFmtId="0">
      <sharedItems containsSemiMixedTypes="0" containsString="0" containsNumber="1" containsInteger="1" minValue="1500" maxValue="12000"/>
    </cacheField>
    <cacheField name="region" numFmtId="0">
      <sharedItems count="4">
        <s v="North"/>
        <s v="East"/>
        <s v="West"/>
        <s v="South"/>
      </sharedItems>
    </cacheField>
    <cacheField name="salesperson" numFmtId="0">
      <sharedItems count="5">
        <s v="John"/>
        <s v="David"/>
        <s v="Sarah"/>
        <s v="Unknown"/>
        <s v="Mary"/>
      </sharedItems>
    </cacheField>
    <cacheField name="revenue" numFmtId="0">
      <sharedItems containsSemiMixedTypes="0" containsString="0" containsNumber="1" containsInteger="1" minValue="6000" maxValue="56000"/>
    </cacheField>
    <cacheField name="month" numFmtId="0">
      <sharedItems containsSemiMixedTypes="0" containsString="0" containsNumber="1" containsInteger="1" minValue="1" maxValue="4"/>
    </cacheField>
    <cacheField name="Column1" numFmtId="0">
      <sharedItems/>
    </cacheField>
    <cacheField name="months" numFmtId="0">
      <sharedItems/>
    </cacheField>
    <cacheField name="Days (date)" numFmtId="0" databaseField="0">
      <fieldGroup base="1">
        <rangePr groupBy="days" startDate="2024-01-05T00:00:00" endDate="2024-05-01T00:00:00"/>
        <groupItems count="368">
          <s v="&lt;2024/01/0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4/05/01"/>
        </groupItems>
      </fieldGroup>
    </cacheField>
    <cacheField name="Months (date)" numFmtId="0" databaseField="0">
      <fieldGroup base="1">
        <rangePr groupBy="months" startDate="2024-01-05T00:00:00" endDate="2024-05-01T00:00:00"/>
        <groupItems count="14">
          <s v="&lt;2024/01/05"/>
          <s v="Jan"/>
          <s v="Feb"/>
          <s v="Mar"/>
          <s v="Apr"/>
          <s v="May"/>
          <s v="Jun"/>
          <s v="Jul"/>
          <s v="Aug"/>
          <s v="Sept"/>
          <s v="Oct"/>
          <s v="Nov"/>
          <s v="Dec"/>
          <s v="&gt;2024/05/01"/>
        </groupItems>
      </fieldGroup>
    </cacheField>
  </cacheFields>
  <extLst>
    <ext xmlns:x14="http://schemas.microsoft.com/office/spreadsheetml/2009/9/main" uri="{725AE2AE-9491-48be-B2B4-4EB974FC3084}">
      <x14:pivotCacheDefinition pivotCacheId="15210808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5"/>
    <x v="0"/>
    <x v="0"/>
    <x v="0"/>
    <n v="2"/>
    <n v="3000"/>
    <x v="0"/>
    <x v="0"/>
    <n v="6000"/>
    <n v="1"/>
    <s v=""/>
    <s v="Jan"/>
  </r>
  <r>
    <n v="1015"/>
    <x v="1"/>
    <x v="0"/>
    <x v="0"/>
    <n v="2"/>
    <n v="3000"/>
    <x v="1"/>
    <x v="1"/>
    <n v="6000"/>
    <n v="2"/>
    <s v=""/>
    <s v="Feb"/>
  </r>
  <r>
    <n v="1019"/>
    <x v="2"/>
    <x v="1"/>
    <x v="0"/>
    <n v="4"/>
    <n v="1500"/>
    <x v="1"/>
    <x v="1"/>
    <n v="6000"/>
    <n v="2"/>
    <s v=""/>
    <s v="Feb"/>
  </r>
  <r>
    <n v="1024"/>
    <x v="3"/>
    <x v="1"/>
    <x v="0"/>
    <n v="4"/>
    <n v="1500"/>
    <x v="2"/>
    <x v="2"/>
    <n v="6000"/>
    <n v="3"/>
    <s v=""/>
    <s v="Mar"/>
  </r>
  <r>
    <n v="1025"/>
    <x v="4"/>
    <x v="0"/>
    <x v="0"/>
    <n v="2"/>
    <n v="3000"/>
    <x v="0"/>
    <x v="0"/>
    <n v="6000"/>
    <n v="3"/>
    <s v=""/>
    <s v="Mar"/>
  </r>
  <r>
    <n v="1035"/>
    <x v="5"/>
    <x v="0"/>
    <x v="0"/>
    <n v="2"/>
    <n v="3000"/>
    <x v="1"/>
    <x v="1"/>
    <n v="6000"/>
    <n v="3"/>
    <s v=""/>
    <s v="Mar"/>
  </r>
  <r>
    <n v="1039"/>
    <x v="6"/>
    <x v="1"/>
    <x v="0"/>
    <n v="4"/>
    <n v="1500"/>
    <x v="1"/>
    <x v="1"/>
    <n v="6000"/>
    <n v="4"/>
    <s v=""/>
    <s v="Apr"/>
  </r>
  <r>
    <n v="1045"/>
    <x v="7"/>
    <x v="0"/>
    <x v="0"/>
    <n v="2"/>
    <n v="3000"/>
    <x v="0"/>
    <x v="0"/>
    <n v="6000"/>
    <n v="4"/>
    <s v=""/>
    <s v="Apr"/>
  </r>
  <r>
    <n v="1004"/>
    <x v="8"/>
    <x v="1"/>
    <x v="0"/>
    <n v="5"/>
    <n v="1500"/>
    <x v="2"/>
    <x v="2"/>
    <n v="7500"/>
    <n v="1"/>
    <s v=""/>
    <s v="Jan"/>
  </r>
  <r>
    <n v="1009"/>
    <x v="9"/>
    <x v="1"/>
    <x v="0"/>
    <n v="5"/>
    <n v="1500"/>
    <x v="0"/>
    <x v="0"/>
    <n v="7500"/>
    <n v="2"/>
    <s v=""/>
    <s v="Feb"/>
  </r>
  <r>
    <n v="1029"/>
    <x v="10"/>
    <x v="1"/>
    <x v="0"/>
    <n v="5"/>
    <n v="1500"/>
    <x v="0"/>
    <x v="0"/>
    <n v="7500"/>
    <n v="3"/>
    <s v=""/>
    <s v="Mar"/>
  </r>
  <r>
    <n v="1044"/>
    <x v="11"/>
    <x v="1"/>
    <x v="0"/>
    <n v="5"/>
    <n v="1500"/>
    <x v="2"/>
    <x v="2"/>
    <n v="7500"/>
    <n v="4"/>
    <s v=""/>
    <s v="Apr"/>
  </r>
  <r>
    <n v="1049"/>
    <x v="12"/>
    <x v="1"/>
    <x v="0"/>
    <n v="5"/>
    <n v="1500"/>
    <x v="0"/>
    <x v="0"/>
    <n v="7500"/>
    <n v="4"/>
    <s v=""/>
    <s v="Apr"/>
  </r>
  <r>
    <n v="1010"/>
    <x v="13"/>
    <x v="0"/>
    <x v="0"/>
    <n v="3"/>
    <n v="3000"/>
    <x v="3"/>
    <x v="3"/>
    <n v="9000"/>
    <n v="2"/>
    <s v=""/>
    <s v="Feb"/>
  </r>
  <r>
    <n v="1014"/>
    <x v="14"/>
    <x v="1"/>
    <x v="0"/>
    <n v="6"/>
    <n v="1500"/>
    <x v="3"/>
    <x v="4"/>
    <n v="9000"/>
    <n v="2"/>
    <s v=""/>
    <s v="Feb"/>
  </r>
  <r>
    <n v="1020"/>
    <x v="15"/>
    <x v="0"/>
    <x v="0"/>
    <n v="3"/>
    <n v="3000"/>
    <x v="2"/>
    <x v="2"/>
    <n v="9000"/>
    <n v="2"/>
    <s v=""/>
    <s v="Feb"/>
  </r>
  <r>
    <n v="1030"/>
    <x v="16"/>
    <x v="0"/>
    <x v="0"/>
    <n v="3"/>
    <n v="3000"/>
    <x v="3"/>
    <x v="4"/>
    <n v="9000"/>
    <n v="3"/>
    <s v=""/>
    <s v="Mar"/>
  </r>
  <r>
    <n v="1034"/>
    <x v="17"/>
    <x v="1"/>
    <x v="0"/>
    <n v="6"/>
    <n v="1500"/>
    <x v="3"/>
    <x v="4"/>
    <n v="9000"/>
    <n v="3"/>
    <s v=""/>
    <s v="Mar"/>
  </r>
  <r>
    <n v="1040"/>
    <x v="18"/>
    <x v="0"/>
    <x v="0"/>
    <n v="3"/>
    <n v="3000"/>
    <x v="2"/>
    <x v="2"/>
    <n v="9000"/>
    <n v="4"/>
    <s v=""/>
    <s v="Apr"/>
  </r>
  <r>
    <n v="1050"/>
    <x v="19"/>
    <x v="0"/>
    <x v="0"/>
    <n v="3"/>
    <n v="3000"/>
    <x v="3"/>
    <x v="4"/>
    <n v="9000"/>
    <n v="4"/>
    <s v=""/>
    <s v="Apr"/>
  </r>
  <r>
    <n v="1006"/>
    <x v="20"/>
    <x v="2"/>
    <x v="1"/>
    <n v="1"/>
    <n v="12000"/>
    <x v="3"/>
    <x v="4"/>
    <n v="12000"/>
    <n v="1"/>
    <s v=""/>
    <s v="Jan"/>
  </r>
  <r>
    <n v="1008"/>
    <x v="21"/>
    <x v="3"/>
    <x v="1"/>
    <n v="2"/>
    <n v="6000"/>
    <x v="2"/>
    <x v="2"/>
    <n v="12000"/>
    <n v="1"/>
    <s v=""/>
    <s v="Jan"/>
  </r>
  <r>
    <n v="1016"/>
    <x v="22"/>
    <x v="2"/>
    <x v="1"/>
    <n v="1"/>
    <n v="12000"/>
    <x v="2"/>
    <x v="2"/>
    <n v="12000"/>
    <n v="2"/>
    <s v=""/>
    <s v="Feb"/>
  </r>
  <r>
    <n v="1018"/>
    <x v="23"/>
    <x v="3"/>
    <x v="1"/>
    <n v="2"/>
    <n v="6000"/>
    <x v="3"/>
    <x v="4"/>
    <n v="12000"/>
    <n v="2"/>
    <s v=""/>
    <s v="Feb"/>
  </r>
  <r>
    <n v="1026"/>
    <x v="24"/>
    <x v="2"/>
    <x v="1"/>
    <n v="1"/>
    <n v="12000"/>
    <x v="3"/>
    <x v="4"/>
    <n v="12000"/>
    <n v="3"/>
    <s v=""/>
    <s v="Mar"/>
  </r>
  <r>
    <n v="1028"/>
    <x v="25"/>
    <x v="3"/>
    <x v="1"/>
    <n v="2"/>
    <n v="6000"/>
    <x v="2"/>
    <x v="2"/>
    <n v="12000"/>
    <n v="3"/>
    <s v=""/>
    <s v="Mar"/>
  </r>
  <r>
    <n v="1036"/>
    <x v="26"/>
    <x v="2"/>
    <x v="1"/>
    <n v="1"/>
    <n v="12000"/>
    <x v="2"/>
    <x v="2"/>
    <n v="12000"/>
    <n v="4"/>
    <s v=""/>
    <s v="Apr"/>
  </r>
  <r>
    <n v="1038"/>
    <x v="27"/>
    <x v="3"/>
    <x v="1"/>
    <n v="2"/>
    <n v="6000"/>
    <x v="3"/>
    <x v="4"/>
    <n v="12000"/>
    <n v="4"/>
    <s v=""/>
    <s v="Apr"/>
  </r>
  <r>
    <n v="1046"/>
    <x v="28"/>
    <x v="2"/>
    <x v="1"/>
    <n v="1"/>
    <n v="12000"/>
    <x v="3"/>
    <x v="3"/>
    <n v="12000"/>
    <n v="4"/>
    <s v=""/>
    <s v="Apr"/>
  </r>
  <r>
    <n v="1048"/>
    <x v="29"/>
    <x v="3"/>
    <x v="1"/>
    <n v="2"/>
    <n v="6000"/>
    <x v="2"/>
    <x v="2"/>
    <n v="12000"/>
    <n v="4"/>
    <s v=""/>
    <s v="Apr"/>
  </r>
  <r>
    <n v="1003"/>
    <x v="30"/>
    <x v="3"/>
    <x v="1"/>
    <n v="3"/>
    <n v="6000"/>
    <x v="1"/>
    <x v="1"/>
    <n v="18000"/>
    <n v="1"/>
    <s v=""/>
    <s v="Jan"/>
  </r>
  <r>
    <n v="1013"/>
    <x v="31"/>
    <x v="3"/>
    <x v="1"/>
    <n v="3"/>
    <n v="6000"/>
    <x v="0"/>
    <x v="0"/>
    <n v="18000"/>
    <n v="2"/>
    <s v=""/>
    <s v="Feb"/>
  </r>
  <r>
    <n v="1023"/>
    <x v="32"/>
    <x v="3"/>
    <x v="1"/>
    <n v="3"/>
    <n v="6000"/>
    <x v="1"/>
    <x v="1"/>
    <n v="18000"/>
    <n v="3"/>
    <s v=""/>
    <s v="Mar"/>
  </r>
  <r>
    <n v="1033"/>
    <x v="33"/>
    <x v="3"/>
    <x v="1"/>
    <n v="3"/>
    <n v="6000"/>
    <x v="0"/>
    <x v="0"/>
    <n v="18000"/>
    <n v="3"/>
    <s v=""/>
    <s v="Mar"/>
  </r>
  <r>
    <n v="1043"/>
    <x v="34"/>
    <x v="3"/>
    <x v="1"/>
    <n v="3"/>
    <n v="6000"/>
    <x v="1"/>
    <x v="1"/>
    <n v="18000"/>
    <n v="4"/>
    <s v=""/>
    <s v="Apr"/>
  </r>
  <r>
    <n v="1001"/>
    <x v="35"/>
    <x v="2"/>
    <x v="1"/>
    <n v="2"/>
    <n v="12000"/>
    <x v="0"/>
    <x v="0"/>
    <n v="24000"/>
    <n v="1"/>
    <s v=""/>
    <s v="Jan"/>
  </r>
  <r>
    <n v="1011"/>
    <x v="36"/>
    <x v="2"/>
    <x v="1"/>
    <n v="2"/>
    <n v="12000"/>
    <x v="1"/>
    <x v="1"/>
    <n v="24000"/>
    <n v="2"/>
    <s v=""/>
    <s v="Feb"/>
  </r>
  <r>
    <n v="1021"/>
    <x v="37"/>
    <x v="2"/>
    <x v="1"/>
    <n v="2"/>
    <n v="12000"/>
    <x v="0"/>
    <x v="0"/>
    <n v="24000"/>
    <n v="3"/>
    <s v=""/>
    <s v="Mar"/>
  </r>
  <r>
    <n v="1031"/>
    <x v="38"/>
    <x v="2"/>
    <x v="1"/>
    <n v="2"/>
    <n v="12000"/>
    <x v="1"/>
    <x v="1"/>
    <n v="24000"/>
    <n v="3"/>
    <s v=""/>
    <s v="Mar"/>
  </r>
  <r>
    <n v="1041"/>
    <x v="39"/>
    <x v="2"/>
    <x v="1"/>
    <n v="2"/>
    <n v="12000"/>
    <x v="0"/>
    <x v="0"/>
    <n v="24000"/>
    <n v="4"/>
    <s v=""/>
    <s v="Apr"/>
  </r>
  <r>
    <n v="1012"/>
    <x v="40"/>
    <x v="4"/>
    <x v="1"/>
    <n v="4"/>
    <n v="8000"/>
    <x v="2"/>
    <x v="2"/>
    <n v="32000"/>
    <n v="2"/>
    <s v=""/>
    <s v="Feb"/>
  </r>
  <r>
    <n v="1032"/>
    <x v="41"/>
    <x v="4"/>
    <x v="1"/>
    <n v="4"/>
    <n v="8000"/>
    <x v="2"/>
    <x v="2"/>
    <n v="32000"/>
    <n v="3"/>
    <s v=""/>
    <s v="Mar"/>
  </r>
  <r>
    <n v="1002"/>
    <x v="42"/>
    <x v="4"/>
    <x v="1"/>
    <n v="5"/>
    <n v="8000"/>
    <x v="3"/>
    <x v="4"/>
    <n v="40000"/>
    <n v="1"/>
    <s v=""/>
    <s v="Jan"/>
  </r>
  <r>
    <n v="1022"/>
    <x v="43"/>
    <x v="4"/>
    <x v="1"/>
    <n v="5"/>
    <n v="8000"/>
    <x v="3"/>
    <x v="4"/>
    <n v="40000"/>
    <n v="3"/>
    <s v=""/>
    <s v="Mar"/>
  </r>
  <r>
    <n v="1042"/>
    <x v="44"/>
    <x v="4"/>
    <x v="1"/>
    <n v="5"/>
    <n v="8000"/>
    <x v="3"/>
    <x v="4"/>
    <n v="40000"/>
    <n v="4"/>
    <s v=""/>
    <s v="Apr"/>
  </r>
  <r>
    <n v="1007"/>
    <x v="45"/>
    <x v="4"/>
    <x v="1"/>
    <n v="6"/>
    <n v="8000"/>
    <x v="1"/>
    <x v="1"/>
    <n v="48000"/>
    <n v="1"/>
    <s v=""/>
    <s v="Jan"/>
  </r>
  <r>
    <n v="1027"/>
    <x v="46"/>
    <x v="4"/>
    <x v="1"/>
    <n v="6"/>
    <n v="8000"/>
    <x v="1"/>
    <x v="1"/>
    <n v="48000"/>
    <n v="3"/>
    <s v=""/>
    <s v="Mar"/>
  </r>
  <r>
    <n v="1047"/>
    <x v="47"/>
    <x v="4"/>
    <x v="1"/>
    <n v="6"/>
    <n v="8000"/>
    <x v="1"/>
    <x v="1"/>
    <n v="48000"/>
    <n v="4"/>
    <s v=""/>
    <s v="Apr"/>
  </r>
  <r>
    <n v="1017"/>
    <x v="48"/>
    <x v="4"/>
    <x v="1"/>
    <n v="7"/>
    <n v="8000"/>
    <x v="0"/>
    <x v="0"/>
    <n v="56000"/>
    <n v="2"/>
    <s v=""/>
    <s v="Feb"/>
  </r>
  <r>
    <n v="1037"/>
    <x v="49"/>
    <x v="4"/>
    <x v="1"/>
    <n v="7"/>
    <n v="8000"/>
    <x v="0"/>
    <x v="0"/>
    <n v="56000"/>
    <n v="4"/>
    <s v=""/>
    <s v="Ap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00EF42-76C8-492B-BEE4-417D65DA3092}" name="Months by Revenue"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s">
  <location ref="A31:C36" firstHeaderRow="0" firstDataRow="1" firstDataCol="1"/>
  <pivotFields count="14">
    <pivotField showAll="0"/>
    <pivotField numFmtId="14" showAll="0">
      <items count="51">
        <item x="35"/>
        <item x="42"/>
        <item x="30"/>
        <item x="8"/>
        <item x="0"/>
        <item x="20"/>
        <item x="45"/>
        <item x="21"/>
        <item x="9"/>
        <item x="13"/>
        <item x="36"/>
        <item x="40"/>
        <item x="31"/>
        <item x="14"/>
        <item x="1"/>
        <item x="22"/>
        <item x="48"/>
        <item x="23"/>
        <item x="2"/>
        <item x="15"/>
        <item x="37"/>
        <item x="43"/>
        <item x="32"/>
        <item x="3"/>
        <item x="4"/>
        <item x="24"/>
        <item x="46"/>
        <item x="25"/>
        <item x="10"/>
        <item x="16"/>
        <item x="38"/>
        <item x="41"/>
        <item x="33"/>
        <item x="17"/>
        <item x="5"/>
        <item x="26"/>
        <item x="49"/>
        <item x="27"/>
        <item x="6"/>
        <item x="18"/>
        <item x="39"/>
        <item x="44"/>
        <item x="34"/>
        <item x="11"/>
        <item x="7"/>
        <item x="28"/>
        <item x="47"/>
        <item x="29"/>
        <item x="12"/>
        <item x="19"/>
        <item t="default"/>
      </items>
    </pivotField>
    <pivotField showAll="0">
      <items count="6">
        <item x="1"/>
        <item x="0"/>
        <item x="2"/>
        <item x="4"/>
        <item x="3"/>
        <item t="default"/>
      </items>
    </pivotField>
    <pivotField showAll="0"/>
    <pivotField showAll="0"/>
    <pivotField showAll="0"/>
    <pivotField showAll="0">
      <items count="5">
        <item x="1"/>
        <item x="0"/>
        <item x="3"/>
        <item x="2"/>
        <item t="default"/>
      </items>
    </pivotField>
    <pivotField showAll="0">
      <items count="6">
        <item x="1"/>
        <item x="0"/>
        <item x="4"/>
        <item x="2"/>
        <item x="3"/>
        <item t="default"/>
      </items>
    </pivotField>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5">
    <i>
      <x v="1"/>
    </i>
    <i>
      <x v="2"/>
    </i>
    <i>
      <x v="3"/>
    </i>
    <i>
      <x v="4"/>
    </i>
    <i t="grand">
      <x/>
    </i>
  </rowItems>
  <colFields count="1">
    <field x="-2"/>
  </colFields>
  <colItems count="2">
    <i>
      <x/>
    </i>
    <i i="1">
      <x v="1"/>
    </i>
  </colItems>
  <dataFields count="2">
    <dataField name="Sum of revenue" fld="8" baseField="0" baseItem="0" numFmtId="164"/>
    <dataField name="Revenue %" fld="8" showDataAs="percentOfCol" baseField="0" baseItem="0" numFmtId="10"/>
  </dataFields>
  <conditionalFormats count="1">
    <conditionalFormat priority="3">
      <pivotAreas count="1">
        <pivotArea type="data" outline="0" collapsedLevelsAreSubtotals="1" fieldPosition="0">
          <references count="1">
            <reference field="4294967294" count="1" selected="0">
              <x v="1"/>
            </reference>
          </references>
        </pivotArea>
      </pivotAreas>
    </conditionalFormat>
  </conditionalFormats>
  <chartFormats count="2">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B117E4-A05B-457F-B73C-58AE4D310410}" name="Product by Revenue"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Product">
  <location ref="A19:C30" firstHeaderRow="0" firstDataRow="1" firstDataCol="1"/>
  <pivotFields count="14">
    <pivotField showAll="0"/>
    <pivotField numFmtId="14" showAll="0">
      <items count="51">
        <item x="35"/>
        <item x="42"/>
        <item x="30"/>
        <item x="8"/>
        <item x="0"/>
        <item x="20"/>
        <item x="45"/>
        <item x="21"/>
        <item x="9"/>
        <item x="13"/>
        <item x="36"/>
        <item x="40"/>
        <item x="31"/>
        <item x="14"/>
        <item x="1"/>
        <item x="22"/>
        <item x="48"/>
        <item x="23"/>
        <item x="2"/>
        <item x="15"/>
        <item x="37"/>
        <item x="43"/>
        <item x="32"/>
        <item x="3"/>
        <item x="4"/>
        <item x="24"/>
        <item x="46"/>
        <item x="25"/>
        <item x="10"/>
        <item x="16"/>
        <item x="38"/>
        <item x="41"/>
        <item x="33"/>
        <item x="17"/>
        <item x="5"/>
        <item x="26"/>
        <item x="49"/>
        <item x="27"/>
        <item x="6"/>
        <item x="18"/>
        <item x="39"/>
        <item x="44"/>
        <item x="34"/>
        <item x="11"/>
        <item x="7"/>
        <item x="28"/>
        <item x="47"/>
        <item x="29"/>
        <item x="12"/>
        <item x="19"/>
        <item t="default"/>
      </items>
    </pivotField>
    <pivotField axis="axisRow" showAll="0">
      <items count="6">
        <item x="1"/>
        <item x="0"/>
        <item x="2"/>
        <item x="4"/>
        <item x="3"/>
        <item t="default"/>
      </items>
    </pivotField>
    <pivotField axis="axisRow" showAll="0">
      <items count="3">
        <item x="1"/>
        <item x="0"/>
        <item t="default"/>
      </items>
    </pivotField>
    <pivotField showAll="0"/>
    <pivotField showAll="0"/>
    <pivotField showAll="0">
      <items count="5">
        <item x="1"/>
        <item x="0"/>
        <item x="3"/>
        <item x="2"/>
        <item t="default"/>
      </items>
    </pivotField>
    <pivotField showAll="0">
      <items count="6">
        <item x="1"/>
        <item x="0"/>
        <item x="4"/>
        <item x="2"/>
        <item x="3"/>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2"/>
    <field x="3"/>
  </rowFields>
  <rowItems count="11">
    <i>
      <x/>
    </i>
    <i r="1">
      <x v="1"/>
    </i>
    <i>
      <x v="1"/>
    </i>
    <i r="1">
      <x v="1"/>
    </i>
    <i>
      <x v="2"/>
    </i>
    <i r="1">
      <x/>
    </i>
    <i>
      <x v="3"/>
    </i>
    <i r="1">
      <x/>
    </i>
    <i>
      <x v="4"/>
    </i>
    <i r="1">
      <x/>
    </i>
    <i t="grand">
      <x/>
    </i>
  </rowItems>
  <colFields count="1">
    <field x="-2"/>
  </colFields>
  <colItems count="2">
    <i>
      <x/>
    </i>
    <i i="1">
      <x v="1"/>
    </i>
  </colItems>
  <dataFields count="2">
    <dataField name="Sum of revenue" fld="8" baseField="0" baseItem="0" numFmtId="164"/>
    <dataField name="Revenue %" fld="8" showDataAs="percentOfCol" baseField="0" baseItem="0" numFmtId="10"/>
  </dataFields>
  <conditionalFormats count="1">
    <conditionalFormat priority="4">
      <pivotAreas count="1">
        <pivotArea type="data" outline="0" collapsedLevelsAreSubtotals="1" fieldPosition="0">
          <references count="1">
            <reference field="4294967294" count="1" selected="0">
              <x v="1"/>
            </reference>
          </references>
        </pivotArea>
      </pivotAreas>
    </conditionalFormat>
  </conditionalFormats>
  <chartFormats count="12">
    <chartFormat chart="14" format="19" series="1">
      <pivotArea type="data" outline="0" fieldPosition="0">
        <references count="1">
          <reference field="4294967294" count="1" selected="0">
            <x v="0"/>
          </reference>
        </references>
      </pivotArea>
    </chartFormat>
    <chartFormat chart="14" format="25" series="1">
      <pivotArea type="data" outline="0" fieldPosition="0">
        <references count="1">
          <reference field="4294967294" count="1" selected="0">
            <x v="1"/>
          </reference>
        </references>
      </pivotArea>
    </chartFormat>
    <chartFormat chart="14" format="35">
      <pivotArea type="data" outline="0" fieldPosition="0">
        <references count="2">
          <reference field="4294967294" count="1" selected="0">
            <x v="0"/>
          </reference>
          <reference field="2" count="1" selected="0">
            <x v="0"/>
          </reference>
        </references>
      </pivotArea>
    </chartFormat>
    <chartFormat chart="14" format="36">
      <pivotArea type="data" outline="0" fieldPosition="0">
        <references count="2">
          <reference field="4294967294" count="1" selected="0">
            <x v="0"/>
          </reference>
          <reference field="2" count="1" selected="0">
            <x v="1"/>
          </reference>
        </references>
      </pivotArea>
    </chartFormat>
    <chartFormat chart="14" format="37">
      <pivotArea type="data" outline="0" fieldPosition="0">
        <references count="2">
          <reference field="4294967294" count="1" selected="0">
            <x v="0"/>
          </reference>
          <reference field="2" count="1" selected="0">
            <x v="2"/>
          </reference>
        </references>
      </pivotArea>
    </chartFormat>
    <chartFormat chart="14" format="38">
      <pivotArea type="data" outline="0" fieldPosition="0">
        <references count="2">
          <reference field="4294967294" count="1" selected="0">
            <x v="0"/>
          </reference>
          <reference field="2" count="1" selected="0">
            <x v="3"/>
          </reference>
        </references>
      </pivotArea>
    </chartFormat>
    <chartFormat chart="14" format="39">
      <pivotArea type="data" outline="0" fieldPosition="0">
        <references count="2">
          <reference field="4294967294" count="1" selected="0">
            <x v="0"/>
          </reference>
          <reference field="2" count="1" selected="0">
            <x v="4"/>
          </reference>
        </references>
      </pivotArea>
    </chartFormat>
    <chartFormat chart="14" format="40">
      <pivotArea type="data" outline="0" fieldPosition="0">
        <references count="2">
          <reference field="4294967294" count="1" selected="0">
            <x v="1"/>
          </reference>
          <reference field="2" count="1" selected="0">
            <x v="0"/>
          </reference>
        </references>
      </pivotArea>
    </chartFormat>
    <chartFormat chart="14" format="41">
      <pivotArea type="data" outline="0" fieldPosition="0">
        <references count="2">
          <reference field="4294967294" count="1" selected="0">
            <x v="1"/>
          </reference>
          <reference field="2" count="1" selected="0">
            <x v="1"/>
          </reference>
        </references>
      </pivotArea>
    </chartFormat>
    <chartFormat chart="14" format="42">
      <pivotArea type="data" outline="0" fieldPosition="0">
        <references count="2">
          <reference field="4294967294" count="1" selected="0">
            <x v="1"/>
          </reference>
          <reference field="2" count="1" selected="0">
            <x v="2"/>
          </reference>
        </references>
      </pivotArea>
    </chartFormat>
    <chartFormat chart="14" format="43">
      <pivotArea type="data" outline="0" fieldPosition="0">
        <references count="2">
          <reference field="4294967294" count="1" selected="0">
            <x v="1"/>
          </reference>
          <reference field="2" count="1" selected="0">
            <x v="3"/>
          </reference>
        </references>
      </pivotArea>
    </chartFormat>
    <chartFormat chart="14" format="44">
      <pivotArea type="data" outline="0" fieldPosition="0">
        <references count="2">
          <reference field="4294967294" count="1" selected="0">
            <x v="1"/>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DD2F0E-F9A2-4EDA-8C86-746DB9DF8624}" name="Region by Revenue"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Region">
  <location ref="A3:C8" firstHeaderRow="0" firstDataRow="1" firstDataCol="1"/>
  <pivotFields count="14">
    <pivotField showAll="0"/>
    <pivotField numFmtId="14" showAll="0">
      <items count="51">
        <item x="35"/>
        <item x="42"/>
        <item x="30"/>
        <item x="8"/>
        <item x="0"/>
        <item x="20"/>
        <item x="45"/>
        <item x="21"/>
        <item x="9"/>
        <item x="13"/>
        <item x="36"/>
        <item x="40"/>
        <item x="31"/>
        <item x="14"/>
        <item x="1"/>
        <item x="22"/>
        <item x="48"/>
        <item x="23"/>
        <item x="2"/>
        <item x="15"/>
        <item x="37"/>
        <item x="43"/>
        <item x="32"/>
        <item x="3"/>
        <item x="4"/>
        <item x="24"/>
        <item x="46"/>
        <item x="25"/>
        <item x="10"/>
        <item x="16"/>
        <item x="38"/>
        <item x="41"/>
        <item x="33"/>
        <item x="17"/>
        <item x="5"/>
        <item x="26"/>
        <item x="49"/>
        <item x="27"/>
        <item x="6"/>
        <item x="18"/>
        <item x="39"/>
        <item x="44"/>
        <item x="34"/>
        <item x="11"/>
        <item x="7"/>
        <item x="28"/>
        <item x="47"/>
        <item x="29"/>
        <item x="12"/>
        <item x="19"/>
        <item t="default"/>
      </items>
    </pivotField>
    <pivotField showAll="0">
      <items count="6">
        <item x="1"/>
        <item x="0"/>
        <item x="2"/>
        <item x="4"/>
        <item x="3"/>
        <item t="default"/>
      </items>
    </pivotField>
    <pivotField showAll="0"/>
    <pivotField showAll="0"/>
    <pivotField showAll="0"/>
    <pivotField axis="axisRow" showAll="0">
      <items count="5">
        <item x="1"/>
        <item x="0"/>
        <item x="3"/>
        <item x="2"/>
        <item t="default"/>
      </items>
    </pivotField>
    <pivotField showAll="0">
      <items count="6">
        <item x="1"/>
        <item x="0"/>
        <item x="4"/>
        <item x="2"/>
        <item x="3"/>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Fields count="1">
    <field x="-2"/>
  </colFields>
  <colItems count="2">
    <i>
      <x/>
    </i>
    <i i="1">
      <x v="1"/>
    </i>
  </colItems>
  <dataFields count="2">
    <dataField name="Sum of revenue" fld="8" baseField="0" baseItem="0" numFmtId="164"/>
    <dataField name="Revenue %" fld="8" showDataAs="percentOfCol" baseField="0" baseItem="0" numFmtId="10"/>
  </dataFields>
  <conditionalFormats count="2">
    <conditionalFormat priority="1">
      <pivotAreas count="1">
        <pivotArea type="data" outline="0" collapsedLevelsAreSubtotals="1" fieldPosition="0">
          <references count="1">
            <reference field="4294967294" count="1" selected="0">
              <x v="1"/>
            </reference>
          </references>
        </pivotArea>
      </pivotAreas>
    </conditionalFormat>
    <conditionalFormat priority="5">
      <pivotAreas count="1">
        <pivotArea type="data" collapsedLevelsAreSubtotals="1" fieldPosition="0">
          <references count="2">
            <reference field="4294967294" count="1" selected="0">
              <x v="1"/>
            </reference>
            <reference field="6" count="4">
              <x v="0"/>
              <x v="1"/>
              <x v="2"/>
              <x v="3"/>
            </reference>
          </references>
        </pivotArea>
      </pivotAreas>
    </conditionalFormat>
  </conditionalFormats>
  <chartFormats count="7">
    <chartFormat chart="16" format="8" series="1">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1"/>
          </reference>
        </references>
      </pivotArea>
    </chartFormat>
    <chartFormat chart="16" format="11">
      <pivotArea type="data" outline="0" fieldPosition="0">
        <references count="2">
          <reference field="4294967294" count="1" selected="0">
            <x v="1"/>
          </reference>
          <reference field="6" count="1" selected="0">
            <x v="0"/>
          </reference>
        </references>
      </pivotArea>
    </chartFormat>
    <chartFormat chart="16" format="12">
      <pivotArea type="data" outline="0" fieldPosition="0">
        <references count="2">
          <reference field="4294967294" count="1" selected="0">
            <x v="1"/>
          </reference>
          <reference field="6" count="1" selected="0">
            <x v="1"/>
          </reference>
        </references>
      </pivotArea>
    </chartFormat>
    <chartFormat chart="16" format="13">
      <pivotArea type="data" outline="0" fieldPosition="0">
        <references count="2">
          <reference field="4294967294" count="1" selected="0">
            <x v="1"/>
          </reference>
          <reference field="6" count="1" selected="0">
            <x v="2"/>
          </reference>
        </references>
      </pivotArea>
    </chartFormat>
    <chartFormat chart="16" format="14">
      <pivotArea type="data" outline="0" fieldPosition="0">
        <references count="2">
          <reference field="4294967294" count="1" selected="0">
            <x v="1"/>
          </reference>
          <reference field="6" count="1" selected="0">
            <x v="3"/>
          </reference>
        </references>
      </pivotArea>
    </chartFormat>
    <chartFormat chart="16" format="1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18FCFA-41EE-491A-B8BB-B46D63987AF7}" name="Salesperson by Revenue"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alesperson">
  <location ref="A39:C45" firstHeaderRow="0" firstDataRow="1" firstDataCol="1"/>
  <pivotFields count="14">
    <pivotField showAll="0"/>
    <pivotField numFmtId="14" showAll="0">
      <items count="51">
        <item x="35"/>
        <item x="42"/>
        <item x="30"/>
        <item x="8"/>
        <item x="0"/>
        <item x="20"/>
        <item x="45"/>
        <item x="21"/>
        <item x="9"/>
        <item x="13"/>
        <item x="36"/>
        <item x="40"/>
        <item x="31"/>
        <item x="14"/>
        <item x="1"/>
        <item x="22"/>
        <item x="48"/>
        <item x="23"/>
        <item x="2"/>
        <item x="15"/>
        <item x="37"/>
        <item x="43"/>
        <item x="32"/>
        <item x="3"/>
        <item x="4"/>
        <item x="24"/>
        <item x="46"/>
        <item x="25"/>
        <item x="10"/>
        <item x="16"/>
        <item x="38"/>
        <item x="41"/>
        <item x="33"/>
        <item x="17"/>
        <item x="5"/>
        <item x="26"/>
        <item x="49"/>
        <item x="27"/>
        <item x="6"/>
        <item x="18"/>
        <item x="39"/>
        <item x="44"/>
        <item x="34"/>
        <item x="11"/>
        <item x="7"/>
        <item x="28"/>
        <item x="47"/>
        <item x="29"/>
        <item x="12"/>
        <item x="19"/>
        <item t="default"/>
      </items>
    </pivotField>
    <pivotField showAll="0">
      <items count="6">
        <item x="1"/>
        <item x="0"/>
        <item x="2"/>
        <item x="4"/>
        <item x="3"/>
        <item t="default"/>
      </items>
    </pivotField>
    <pivotField showAll="0"/>
    <pivotField showAll="0"/>
    <pivotField showAll="0"/>
    <pivotField showAll="0">
      <items count="5">
        <item x="1"/>
        <item x="0"/>
        <item x="3"/>
        <item x="2"/>
        <item t="default"/>
      </items>
    </pivotField>
    <pivotField axis="axisRow" showAll="0" sortType="descending">
      <items count="6">
        <item x="3"/>
        <item x="2"/>
        <item x="4"/>
        <item x="0"/>
        <item x="1"/>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Fields count="1">
    <field x="-2"/>
  </colFields>
  <colItems count="2">
    <i>
      <x/>
    </i>
    <i i="1">
      <x v="1"/>
    </i>
  </colItems>
  <dataFields count="2">
    <dataField name="Sum of revenue" fld="8" baseField="0" baseItem="0"/>
    <dataField name="Revenue %" fld="8" showDataAs="percentOfCol" baseField="0" baseItem="0" numFmtId="10"/>
  </dataFields>
  <formats count="5">
    <format dxfId="253">
      <pivotArea collapsedLevelsAreSubtotals="1" fieldPosition="0">
        <references count="1">
          <reference field="7" count="0"/>
        </references>
      </pivotArea>
    </format>
    <format dxfId="254">
      <pivotArea field="7" type="button" dataOnly="0" labelOnly="1" outline="0" axis="axisRow" fieldPosition="0"/>
    </format>
    <format dxfId="255">
      <pivotArea dataOnly="0" labelOnly="1" fieldPosition="0">
        <references count="1">
          <reference field="7" count="0"/>
        </references>
      </pivotArea>
    </format>
    <format dxfId="256">
      <pivotArea dataOnly="0" labelOnly="1" outline="0" axis="axisValues" fieldPosition="0"/>
    </format>
    <format dxfId="257">
      <pivotArea outline="0" fieldPosition="0">
        <references count="1">
          <reference field="4294967294" count="1">
            <x v="1"/>
          </reference>
        </references>
      </pivotArea>
    </format>
  </formats>
  <conditionalFormats count="1">
    <conditionalFormat priority="2">
      <pivotAreas count="1">
        <pivotArea type="data" outline="0" collapsedLevelsAreSubtotals="1" fieldPosition="0">
          <references count="1">
            <reference field="4294967294" count="1" selected="0">
              <x v="1"/>
            </reference>
          </references>
        </pivotArea>
      </pivotAreas>
    </conditionalFormat>
  </conditionalFormats>
  <chartFormats count="4">
    <chartFormat chart="9"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 chart="9" format="5">
      <pivotArea type="data" outline="0" fieldPosition="0">
        <references count="2">
          <reference field="4294967294" count="1" selected="0">
            <x v="0"/>
          </reference>
          <reference field="7" count="1" selected="0">
            <x v="4"/>
          </reference>
        </references>
      </pivotArea>
    </chartFormat>
    <chartFormat chart="9"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1" xr16:uid="{828CEFCA-86F1-4CF6-B20E-89B945B17271}" autoFormatId="16" applyNumberFormats="0" applyBorderFormats="0" applyFontFormats="0" applyPatternFormats="0" applyAlignmentFormats="0" applyWidthHeightFormats="0">
  <queryTableRefresh nextId="9">
    <queryTableFields count="8">
      <queryTableField id="1" name="transaction_id" tableColumnId="1"/>
      <queryTableField id="2" name="date" tableColumnId="2"/>
      <queryTableField id="3" name="product" tableColumnId="3"/>
      <queryTableField id="4" name="category" tableColumnId="4"/>
      <queryTableField id="5" name="quantity" tableColumnId="5"/>
      <queryTableField id="6" name="price" tableColumnId="6"/>
      <queryTableField id="7" name="region" tableColumnId="7"/>
      <queryTableField id="8" name="salesperson"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D9224D93-CEC4-4598-8A53-514684659CBF}" autoFormatId="16" applyNumberFormats="0" applyBorderFormats="0" applyFontFormats="0" applyPatternFormats="0" applyAlignmentFormats="0" applyWidthHeightFormats="0">
  <queryTableRefresh nextId="17" unboundColumnsRight="1">
    <queryTableFields count="12">
      <queryTableField id="1" name="transaction_id" tableColumnId="1"/>
      <queryTableField id="2" name="date" tableColumnId="2"/>
      <queryTableField id="3" name="product" tableColumnId="3"/>
      <queryTableField id="4" name="category" tableColumnId="4"/>
      <queryTableField id="5" name="quantity" tableColumnId="5"/>
      <queryTableField id="6" name="price" tableColumnId="6"/>
      <queryTableField id="7" name="region" tableColumnId="7"/>
      <queryTableField id="8" name="salesperson" tableColumnId="8"/>
      <queryTableField id="9" name="revenue" tableColumnId="9"/>
      <queryTableField id="11" name="month" tableColumnId="11"/>
      <queryTableField id="16" name="Column1" tableColumnId="10"/>
      <queryTableField id="13" dataBound="0" tableColumnId="12"/>
    </queryTableFields>
    <queryTableDeletedFields count="2">
      <deletedField name="Column1"/>
      <deletedField name="Column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38838C-2BC1-4083-B213-FBBD23DB9989}" sourceName="region">
  <pivotTables>
    <pivotTable tabId="4" name="Months by Revenue"/>
    <pivotTable tabId="4" name="Product by Revenue"/>
    <pivotTable tabId="4" name="Salesperson by Revenue"/>
  </pivotTables>
  <data>
    <tabular pivotCacheId="1521080827">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674234F-9153-4312-9506-63807D87C14E}" sourceName="product">
  <pivotTables>
    <pivotTable tabId="4" name="Months by Revenue"/>
    <pivotTable tabId="4" name="Region by Revenue"/>
    <pivotTable tabId="4" name="Salesperson by Revenue"/>
  </pivotTables>
  <data>
    <tabular pivotCacheId="1521080827">
      <items count="5">
        <i x="1" s="1"/>
        <i x="0"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7451C86-7543-4CB5-9033-9EDB70BADDAA}" sourceName="Months (date)">
  <pivotTables>
    <pivotTable tabId="4" name="Product by Revenue"/>
    <pivotTable tabId="4" name="Region by Revenue"/>
    <pivotTable tabId="4" name="Salesperson by Revenue"/>
  </pivotTables>
  <data>
    <tabular pivotCacheId="1521080827">
      <items count="14">
        <i x="1" s="1"/>
        <i x="2" s="1"/>
        <i x="3" s="1"/>
        <i x="4" s="1"/>
        <i x="5" s="1" nd="1"/>
        <i x="6" s="1" nd="1"/>
        <i x="7" s="1" nd="1"/>
        <i x="8" s="1" nd="1"/>
        <i x="9" s="1" nd="1"/>
        <i x="10" s="1" nd="1"/>
        <i x="11" s="1" nd="1"/>
        <i x="12" s="1" nd="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0A0D15F-CEFA-4EE0-B95C-0FA380F52E4D}" sourceName="salesperson">
  <pivotTables>
    <pivotTable tabId="4" name="Months by Revenue"/>
    <pivotTable tabId="4" name="Product by Revenue"/>
    <pivotTable tabId="4" name="Region by Revenue"/>
  </pivotTables>
  <data>
    <tabular pivotCacheId="1521080827">
      <items count="5">
        <i x="1" s="1"/>
        <i x="0"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B6A711F6-4F02-467A-8E73-210C8F97DF25}" cache="Slicer_region" caption="Region" columnCount="2" style="SlicerStyleDark1" rowHeight="540000"/>
  <slicer name="product 2" xr10:uid="{1786D0E2-B6B9-4DBD-8044-C114C08C1B54}" cache="Slicer_product" caption="Product" columnCount="2" style="SlicerStyleDark1" rowHeight="540000"/>
  <slicer name="Months (date) 2" xr10:uid="{84B0B475-C360-49E5-A6D9-10F845FA7715}" cache="Slicer_Months__date" caption="Months" columnCount="2" style="SlicerStyleDark1" rowHeight="540000"/>
  <slicer name="salesperson 2" xr10:uid="{8174B063-262C-486B-A89C-E6162DC6A2FD}" cache="Slicer_salesperson" caption="Salesperson" columnCount="2" style="SlicerStyleDark1" rowHeight="54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A8641B1-5181-4768-A6FD-484E2B152547}" name="Sales_data" displayName="Sales_data" ref="A1:H53" tableType="queryTable" totalsRowShown="0">
  <autoFilter ref="A1:H53" xr:uid="{BA8641B1-5181-4768-A6FD-484E2B152547}"/>
  <tableColumns count="8">
    <tableColumn id="1" xr3:uid="{0F97DEAC-04C7-4C1F-9AD0-A8A7B62259B1}" uniqueName="1" name="transaction_id" queryTableFieldId="1"/>
    <tableColumn id="2" xr3:uid="{9F460546-D9B5-4CF5-91D0-F57AF04E72D5}" uniqueName="2" name="date" queryTableFieldId="2" dataDxfId="242"/>
    <tableColumn id="3" xr3:uid="{04AD1025-2135-4F4F-9F0A-BD14BBCDD319}" uniqueName="3" name="product" queryTableFieldId="3" dataDxfId="241"/>
    <tableColumn id="4" xr3:uid="{98C51436-CFA6-4268-A529-439207B89C63}" uniqueName="4" name="category" queryTableFieldId="4" dataDxfId="240"/>
    <tableColumn id="5" xr3:uid="{B5A2E2E7-D632-4C74-9612-718847CC1570}" uniqueName="5" name="quantity" queryTableFieldId="5"/>
    <tableColumn id="6" xr3:uid="{E538EED2-BD04-451B-8093-23616B028E69}" uniqueName="6" name="price" queryTableFieldId="6"/>
    <tableColumn id="7" xr3:uid="{95C30EA0-34A3-40C5-B7DD-FC7411476FC5}" uniqueName="7" name="region" queryTableFieldId="7" dataDxfId="239"/>
    <tableColumn id="8" xr3:uid="{5A54056D-462C-44FD-949A-DAC70D24059B}" uniqueName="8" name="salesperson" queryTableFieldId="8" dataDxfId="23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DAA63C-98AD-4D8E-982C-DF9B214F944A}" name="clean_sales" displayName="clean_sales" ref="A1:L52" tableType="queryTable" totalsRowCount="1">
  <autoFilter ref="A1:L51" xr:uid="{EADAA63C-98AD-4D8E-982C-DF9B214F944A}"/>
  <sortState xmlns:xlrd2="http://schemas.microsoft.com/office/spreadsheetml/2017/richdata2" ref="A2:L51">
    <sortCondition ref="I1:I51"/>
  </sortState>
  <tableColumns count="12">
    <tableColumn id="1" xr3:uid="{B927D107-0BC2-4780-B57B-EED0C627C19A}" uniqueName="1" name="transaction_id" queryTableFieldId="1"/>
    <tableColumn id="2" xr3:uid="{B05E22E3-82EA-486F-9F41-C1AFF85F0633}" uniqueName="2" name="date" queryTableFieldId="2" dataDxfId="236" totalsRowDxfId="237"/>
    <tableColumn id="3" xr3:uid="{88CCCAEC-E84F-4D69-A8F9-36816A59F3C0}" uniqueName="3" name="product" queryTableFieldId="3" dataDxfId="235"/>
    <tableColumn id="4" xr3:uid="{C9FFD244-7AF7-4C69-BD44-481964ECA3E0}" uniqueName="4" name="category" queryTableFieldId="4" dataDxfId="234"/>
    <tableColumn id="5" xr3:uid="{DCE5BA79-0B82-4150-B332-3807CF0E5BED}" uniqueName="5" name="quantity" queryTableFieldId="5"/>
    <tableColumn id="6" xr3:uid="{A9F4E775-4F40-4DD8-93A0-010A3326012A}" uniqueName="6" name="price" queryTableFieldId="6"/>
    <tableColumn id="7" xr3:uid="{A3AC4F4F-65BA-48BD-8435-8B84130357CC}" uniqueName="7" name="region" queryTableFieldId="7" dataDxfId="233"/>
    <tableColumn id="8" xr3:uid="{A520CC5C-DF20-4C8D-90E4-3A2EF105BA27}" uniqueName="8" name="salesperson" queryTableFieldId="8" dataDxfId="232"/>
    <tableColumn id="9" xr3:uid="{3DC3229F-81C0-4703-9A89-6946BE3BEB1E}" uniqueName="9" name="revenue" totalsRowFunction="custom" queryTableFieldId="9">
      <totalsRowFormula>SUM(clean_sales[revenue])</totalsRowFormula>
    </tableColumn>
    <tableColumn id="11" xr3:uid="{2894EAAB-63A1-4ADA-8B35-52F88F3F52C5}" uniqueName="11" name="month" queryTableFieldId="11"/>
    <tableColumn id="10" xr3:uid="{19C933AD-008D-4424-83D0-42A69D8FE9EC}" uniqueName="10" name="Column1" queryTableFieldId="16" dataDxfId="231"/>
    <tableColumn id="12" xr3:uid="{968BA1E9-AFDA-44E9-9B0C-D8F197199922}" uniqueName="12" name="months" queryTableFieldId="13" dataDxfId="230">
      <calculatedColumnFormula>TEXT(B2, "mmm")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4AB1B-CCD6-40C3-96AA-2C50F6888804}">
  <dimension ref="A1:H53"/>
  <sheetViews>
    <sheetView topLeftCell="A6" workbookViewId="0">
      <selection activeCell="H49" sqref="H49"/>
    </sheetView>
  </sheetViews>
  <sheetFormatPr defaultRowHeight="14.4" x14ac:dyDescent="0.3"/>
  <cols>
    <col min="1" max="1" width="15.109375" bestFit="1" customWidth="1"/>
    <col min="2" max="2" width="10.33203125" bestFit="1" customWidth="1"/>
    <col min="3" max="3" width="9.77734375" bestFit="1" customWidth="1"/>
    <col min="4" max="4" width="10.33203125" bestFit="1" customWidth="1"/>
    <col min="5" max="5" width="10.109375" bestFit="1" customWidth="1"/>
    <col min="6" max="6" width="7.5546875" bestFit="1" customWidth="1"/>
    <col min="7" max="7" width="8.33203125" bestFit="1" customWidth="1"/>
    <col min="8" max="8" width="13.21875" bestFit="1" customWidth="1"/>
  </cols>
  <sheetData>
    <row r="1" spans="1:8" x14ac:dyDescent="0.3">
      <c r="A1" t="s">
        <v>0</v>
      </c>
      <c r="B1" t="s">
        <v>1</v>
      </c>
      <c r="C1" t="s">
        <v>2</v>
      </c>
      <c r="D1" t="s">
        <v>3</v>
      </c>
      <c r="E1" t="s">
        <v>4</v>
      </c>
      <c r="F1" t="s">
        <v>5</v>
      </c>
      <c r="G1" t="s">
        <v>6</v>
      </c>
      <c r="H1" t="s">
        <v>7</v>
      </c>
    </row>
    <row r="2" spans="1:8" x14ac:dyDescent="0.3">
      <c r="A2">
        <v>1001</v>
      </c>
      <c r="B2" s="1">
        <v>45296</v>
      </c>
      <c r="C2" t="s">
        <v>10</v>
      </c>
      <c r="D2" t="s">
        <v>11</v>
      </c>
      <c r="E2">
        <v>2</v>
      </c>
      <c r="F2">
        <v>12000</v>
      </c>
      <c r="G2" t="s">
        <v>12</v>
      </c>
      <c r="H2" t="s">
        <v>13</v>
      </c>
    </row>
    <row r="3" spans="1:8" x14ac:dyDescent="0.3">
      <c r="A3">
        <v>1002</v>
      </c>
      <c r="B3" s="1">
        <v>45298</v>
      </c>
      <c r="C3" t="s">
        <v>14</v>
      </c>
      <c r="D3" t="s">
        <v>11</v>
      </c>
      <c r="E3">
        <v>5</v>
      </c>
      <c r="F3">
        <v>8000</v>
      </c>
      <c r="G3" t="s">
        <v>15</v>
      </c>
      <c r="H3" t="s">
        <v>16</v>
      </c>
    </row>
    <row r="4" spans="1:8" x14ac:dyDescent="0.3">
      <c r="A4">
        <v>1003</v>
      </c>
      <c r="B4" s="1">
        <v>45301</v>
      </c>
      <c r="C4" t="s">
        <v>17</v>
      </c>
      <c r="D4" t="s">
        <v>11</v>
      </c>
      <c r="E4">
        <v>3</v>
      </c>
      <c r="F4">
        <v>6000</v>
      </c>
      <c r="G4" t="s">
        <v>18</v>
      </c>
      <c r="H4" t="s">
        <v>19</v>
      </c>
    </row>
    <row r="5" spans="1:8" x14ac:dyDescent="0.3">
      <c r="A5">
        <v>1003</v>
      </c>
      <c r="B5" s="1">
        <v>45301</v>
      </c>
      <c r="C5" t="s">
        <v>17</v>
      </c>
      <c r="D5" t="s">
        <v>11</v>
      </c>
      <c r="E5">
        <v>3</v>
      </c>
      <c r="F5">
        <v>6000</v>
      </c>
      <c r="G5" t="s">
        <v>18</v>
      </c>
      <c r="H5" t="s">
        <v>19</v>
      </c>
    </row>
    <row r="6" spans="1:8" x14ac:dyDescent="0.3">
      <c r="A6">
        <v>1004</v>
      </c>
      <c r="B6" s="1">
        <v>45306</v>
      </c>
      <c r="C6" t="s">
        <v>20</v>
      </c>
      <c r="D6" t="s">
        <v>21</v>
      </c>
      <c r="F6">
        <v>1500</v>
      </c>
      <c r="G6" t="s">
        <v>22</v>
      </c>
      <c r="H6" t="s">
        <v>23</v>
      </c>
    </row>
    <row r="7" spans="1:8" x14ac:dyDescent="0.3">
      <c r="A7">
        <v>1005</v>
      </c>
      <c r="B7" s="1">
        <v>45311</v>
      </c>
      <c r="C7" t="s">
        <v>24</v>
      </c>
      <c r="D7" t="s">
        <v>21</v>
      </c>
      <c r="E7">
        <v>2</v>
      </c>
      <c r="F7">
        <v>3000</v>
      </c>
      <c r="G7" t="s">
        <v>12</v>
      </c>
      <c r="H7" t="s">
        <v>13</v>
      </c>
    </row>
    <row r="8" spans="1:8" x14ac:dyDescent="0.3">
      <c r="A8">
        <v>1006</v>
      </c>
      <c r="B8" s="1">
        <v>45313</v>
      </c>
      <c r="C8" t="s">
        <v>10</v>
      </c>
      <c r="D8" t="s">
        <v>11</v>
      </c>
      <c r="E8">
        <v>1</v>
      </c>
      <c r="F8">
        <v>12000</v>
      </c>
      <c r="G8" t="s">
        <v>15</v>
      </c>
      <c r="H8" t="s">
        <v>16</v>
      </c>
    </row>
    <row r="9" spans="1:8" x14ac:dyDescent="0.3">
      <c r="A9">
        <v>1007</v>
      </c>
      <c r="B9" s="1">
        <v>45316</v>
      </c>
      <c r="C9" t="s">
        <v>14</v>
      </c>
      <c r="D9" t="s">
        <v>11</v>
      </c>
      <c r="E9">
        <v>6</v>
      </c>
      <c r="F9">
        <v>8000</v>
      </c>
      <c r="G9" t="s">
        <v>18</v>
      </c>
      <c r="H9" t="s">
        <v>19</v>
      </c>
    </row>
    <row r="10" spans="1:8" x14ac:dyDescent="0.3">
      <c r="A10">
        <v>1008</v>
      </c>
      <c r="B10" s="1">
        <v>45319</v>
      </c>
      <c r="C10" t="s">
        <v>17</v>
      </c>
      <c r="D10" t="s">
        <v>11</v>
      </c>
      <c r="E10">
        <v>2</v>
      </c>
      <c r="F10">
        <v>6000</v>
      </c>
      <c r="G10" t="s">
        <v>22</v>
      </c>
      <c r="H10" t="s">
        <v>23</v>
      </c>
    </row>
    <row r="11" spans="1:8" x14ac:dyDescent="0.3">
      <c r="A11">
        <v>1009</v>
      </c>
      <c r="B11" s="1">
        <v>45323</v>
      </c>
      <c r="C11" t="s">
        <v>20</v>
      </c>
      <c r="D11" t="s">
        <v>21</v>
      </c>
      <c r="E11">
        <v>5</v>
      </c>
      <c r="F11">
        <v>1500</v>
      </c>
      <c r="G11" t="s">
        <v>12</v>
      </c>
      <c r="H11" t="s">
        <v>13</v>
      </c>
    </row>
    <row r="12" spans="1:8" x14ac:dyDescent="0.3">
      <c r="A12">
        <v>1010</v>
      </c>
      <c r="B12" s="1">
        <v>45325</v>
      </c>
      <c r="C12" t="s">
        <v>24</v>
      </c>
      <c r="D12" t="s">
        <v>21</v>
      </c>
      <c r="E12">
        <v>3</v>
      </c>
      <c r="F12">
        <v>3000</v>
      </c>
      <c r="G12" t="s">
        <v>15</v>
      </c>
      <c r="H12" t="s">
        <v>36</v>
      </c>
    </row>
    <row r="13" spans="1:8" x14ac:dyDescent="0.3">
      <c r="A13">
        <v>1011</v>
      </c>
      <c r="B13" s="1">
        <v>45327</v>
      </c>
      <c r="C13" t="s">
        <v>10</v>
      </c>
      <c r="D13" t="s">
        <v>11</v>
      </c>
      <c r="E13">
        <v>2</v>
      </c>
      <c r="F13">
        <v>12000</v>
      </c>
      <c r="G13" t="s">
        <v>18</v>
      </c>
      <c r="H13" t="s">
        <v>19</v>
      </c>
    </row>
    <row r="14" spans="1:8" x14ac:dyDescent="0.3">
      <c r="A14">
        <v>1012</v>
      </c>
      <c r="B14" s="1">
        <v>45329</v>
      </c>
      <c r="C14" t="s">
        <v>14</v>
      </c>
      <c r="D14" t="s">
        <v>11</v>
      </c>
      <c r="E14">
        <v>4</v>
      </c>
      <c r="F14">
        <v>8000</v>
      </c>
      <c r="G14" t="s">
        <v>22</v>
      </c>
      <c r="H14" t="s">
        <v>23</v>
      </c>
    </row>
    <row r="15" spans="1:8" x14ac:dyDescent="0.3">
      <c r="A15">
        <v>1013</v>
      </c>
      <c r="B15" s="1">
        <v>45332</v>
      </c>
      <c r="C15" t="s">
        <v>17</v>
      </c>
      <c r="D15" t="s">
        <v>11</v>
      </c>
      <c r="E15">
        <v>3</v>
      </c>
      <c r="F15">
        <v>6000</v>
      </c>
      <c r="G15" t="s">
        <v>12</v>
      </c>
      <c r="H15" t="s">
        <v>13</v>
      </c>
    </row>
    <row r="16" spans="1:8" x14ac:dyDescent="0.3">
      <c r="A16">
        <v>1014</v>
      </c>
      <c r="B16" s="1">
        <v>45334</v>
      </c>
      <c r="C16" t="s">
        <v>20</v>
      </c>
      <c r="D16" t="s">
        <v>21</v>
      </c>
      <c r="E16">
        <v>6</v>
      </c>
      <c r="F16">
        <v>1500</v>
      </c>
      <c r="G16" t="s">
        <v>15</v>
      </c>
      <c r="H16" t="s">
        <v>16</v>
      </c>
    </row>
    <row r="17" spans="1:8" x14ac:dyDescent="0.3">
      <c r="A17">
        <v>1015</v>
      </c>
      <c r="B17" s="1">
        <v>45337</v>
      </c>
      <c r="C17" t="s">
        <v>24</v>
      </c>
      <c r="D17" t="s">
        <v>21</v>
      </c>
      <c r="E17">
        <v>2</v>
      </c>
      <c r="F17">
        <v>3000</v>
      </c>
      <c r="G17" t="s">
        <v>18</v>
      </c>
      <c r="H17" t="s">
        <v>19</v>
      </c>
    </row>
    <row r="18" spans="1:8" x14ac:dyDescent="0.3">
      <c r="A18">
        <v>1016</v>
      </c>
      <c r="B18" s="1">
        <v>45340</v>
      </c>
      <c r="C18" t="s">
        <v>10</v>
      </c>
      <c r="D18" t="s">
        <v>11</v>
      </c>
      <c r="E18">
        <v>1</v>
      </c>
      <c r="F18">
        <v>12000</v>
      </c>
      <c r="G18" t="s">
        <v>22</v>
      </c>
      <c r="H18" t="s">
        <v>23</v>
      </c>
    </row>
    <row r="19" spans="1:8" x14ac:dyDescent="0.3">
      <c r="A19">
        <v>1017</v>
      </c>
      <c r="B19" s="1">
        <v>45342</v>
      </c>
      <c r="C19" t="s">
        <v>14</v>
      </c>
      <c r="D19" t="s">
        <v>11</v>
      </c>
      <c r="E19">
        <v>7</v>
      </c>
      <c r="F19">
        <v>8000</v>
      </c>
      <c r="G19" t="s">
        <v>12</v>
      </c>
      <c r="H19" t="s">
        <v>13</v>
      </c>
    </row>
    <row r="20" spans="1:8" x14ac:dyDescent="0.3">
      <c r="A20">
        <v>1018</v>
      </c>
      <c r="B20" s="1">
        <v>45344</v>
      </c>
      <c r="C20" t="s">
        <v>17</v>
      </c>
      <c r="D20" t="s">
        <v>11</v>
      </c>
      <c r="E20">
        <v>2</v>
      </c>
      <c r="F20">
        <v>6000</v>
      </c>
      <c r="G20" t="s">
        <v>15</v>
      </c>
      <c r="H20" t="s">
        <v>16</v>
      </c>
    </row>
    <row r="21" spans="1:8" x14ac:dyDescent="0.3">
      <c r="A21">
        <v>1019</v>
      </c>
      <c r="B21" s="1">
        <v>45347</v>
      </c>
      <c r="C21" t="s">
        <v>20</v>
      </c>
      <c r="D21" t="s">
        <v>21</v>
      </c>
      <c r="E21">
        <v>4</v>
      </c>
      <c r="F21">
        <v>1500</v>
      </c>
      <c r="G21" t="s">
        <v>18</v>
      </c>
      <c r="H21" t="s">
        <v>19</v>
      </c>
    </row>
    <row r="22" spans="1:8" x14ac:dyDescent="0.3">
      <c r="A22">
        <v>1020</v>
      </c>
      <c r="B22" s="1">
        <v>45350</v>
      </c>
      <c r="C22" t="s">
        <v>24</v>
      </c>
      <c r="D22" t="s">
        <v>21</v>
      </c>
      <c r="E22">
        <v>3</v>
      </c>
      <c r="F22">
        <v>3000</v>
      </c>
      <c r="G22" t="s">
        <v>22</v>
      </c>
      <c r="H22" t="s">
        <v>23</v>
      </c>
    </row>
    <row r="23" spans="1:8" x14ac:dyDescent="0.3">
      <c r="A23">
        <v>1021</v>
      </c>
      <c r="B23" s="1">
        <v>45353</v>
      </c>
      <c r="C23" t="s">
        <v>10</v>
      </c>
      <c r="D23" t="s">
        <v>11</v>
      </c>
      <c r="E23">
        <v>2</v>
      </c>
      <c r="F23">
        <v>12000</v>
      </c>
      <c r="G23" t="s">
        <v>12</v>
      </c>
      <c r="H23" t="s">
        <v>13</v>
      </c>
    </row>
    <row r="24" spans="1:8" x14ac:dyDescent="0.3">
      <c r="A24">
        <v>1022</v>
      </c>
      <c r="B24" s="1">
        <v>45355</v>
      </c>
      <c r="C24" t="s">
        <v>14</v>
      </c>
      <c r="D24" t="s">
        <v>11</v>
      </c>
      <c r="E24">
        <v>5</v>
      </c>
      <c r="F24">
        <v>8000</v>
      </c>
      <c r="G24" t="s">
        <v>15</v>
      </c>
      <c r="H24" t="s">
        <v>16</v>
      </c>
    </row>
    <row r="25" spans="1:8" x14ac:dyDescent="0.3">
      <c r="A25">
        <v>1023</v>
      </c>
      <c r="B25" s="1">
        <v>45357</v>
      </c>
      <c r="C25" t="s">
        <v>17</v>
      </c>
      <c r="D25" t="s">
        <v>11</v>
      </c>
      <c r="E25">
        <v>3</v>
      </c>
      <c r="F25">
        <v>6000</v>
      </c>
      <c r="G25" t="s">
        <v>18</v>
      </c>
      <c r="H25" t="s">
        <v>19</v>
      </c>
    </row>
    <row r="26" spans="1:8" x14ac:dyDescent="0.3">
      <c r="A26">
        <v>1024</v>
      </c>
      <c r="B26" s="1">
        <v>45359</v>
      </c>
      <c r="C26" t="s">
        <v>20</v>
      </c>
      <c r="D26" t="s">
        <v>21</v>
      </c>
      <c r="E26">
        <v>4</v>
      </c>
      <c r="F26">
        <v>1500</v>
      </c>
      <c r="G26" t="s">
        <v>22</v>
      </c>
      <c r="H26" t="s">
        <v>23</v>
      </c>
    </row>
    <row r="27" spans="1:8" x14ac:dyDescent="0.3">
      <c r="A27">
        <v>1025</v>
      </c>
      <c r="B27" s="1">
        <v>45361</v>
      </c>
      <c r="C27" t="s">
        <v>24</v>
      </c>
      <c r="D27" t="s">
        <v>21</v>
      </c>
      <c r="E27">
        <v>2</v>
      </c>
      <c r="F27">
        <v>3000</v>
      </c>
      <c r="G27" t="s">
        <v>12</v>
      </c>
      <c r="H27" t="s">
        <v>13</v>
      </c>
    </row>
    <row r="28" spans="1:8" x14ac:dyDescent="0.3">
      <c r="A28">
        <v>1026</v>
      </c>
      <c r="B28" s="1">
        <v>45363</v>
      </c>
      <c r="C28" t="s">
        <v>10</v>
      </c>
      <c r="D28" t="s">
        <v>11</v>
      </c>
      <c r="E28">
        <v>1</v>
      </c>
      <c r="F28">
        <v>12000</v>
      </c>
      <c r="G28" t="s">
        <v>15</v>
      </c>
      <c r="H28" t="s">
        <v>16</v>
      </c>
    </row>
    <row r="29" spans="1:8" x14ac:dyDescent="0.3">
      <c r="A29">
        <v>1027</v>
      </c>
      <c r="B29" s="1">
        <v>45365</v>
      </c>
      <c r="C29" t="s">
        <v>14</v>
      </c>
      <c r="D29" t="s">
        <v>11</v>
      </c>
      <c r="E29">
        <v>6</v>
      </c>
      <c r="F29">
        <v>8000</v>
      </c>
      <c r="G29" t="s">
        <v>18</v>
      </c>
      <c r="H29" t="s">
        <v>19</v>
      </c>
    </row>
    <row r="30" spans="1:8" x14ac:dyDescent="0.3">
      <c r="A30">
        <v>1028</v>
      </c>
      <c r="B30" s="1">
        <v>45367</v>
      </c>
      <c r="C30" t="s">
        <v>17</v>
      </c>
      <c r="D30" t="s">
        <v>11</v>
      </c>
      <c r="E30">
        <v>2</v>
      </c>
      <c r="F30">
        <v>6000</v>
      </c>
      <c r="G30" t="s">
        <v>22</v>
      </c>
      <c r="H30" t="s">
        <v>23</v>
      </c>
    </row>
    <row r="31" spans="1:8" x14ac:dyDescent="0.3">
      <c r="A31">
        <v>1029</v>
      </c>
      <c r="B31" s="1">
        <v>45369</v>
      </c>
      <c r="C31" t="s">
        <v>20</v>
      </c>
      <c r="D31" t="s">
        <v>21</v>
      </c>
      <c r="E31">
        <v>5</v>
      </c>
      <c r="F31">
        <v>1500</v>
      </c>
      <c r="G31" t="s">
        <v>12</v>
      </c>
      <c r="H31" t="s">
        <v>13</v>
      </c>
    </row>
    <row r="32" spans="1:8" x14ac:dyDescent="0.3">
      <c r="A32">
        <v>1030</v>
      </c>
      <c r="B32" s="1">
        <v>45371</v>
      </c>
      <c r="C32" t="s">
        <v>24</v>
      </c>
      <c r="D32" t="s">
        <v>21</v>
      </c>
      <c r="E32">
        <v>3</v>
      </c>
      <c r="F32">
        <v>3000</v>
      </c>
      <c r="G32" t="s">
        <v>15</v>
      </c>
      <c r="H32" t="s">
        <v>16</v>
      </c>
    </row>
    <row r="33" spans="1:8" x14ac:dyDescent="0.3">
      <c r="A33">
        <v>1030</v>
      </c>
      <c r="B33" s="1">
        <v>45371</v>
      </c>
      <c r="C33" t="s">
        <v>24</v>
      </c>
      <c r="D33" t="s">
        <v>21</v>
      </c>
      <c r="E33">
        <v>3</v>
      </c>
      <c r="F33">
        <v>3000</v>
      </c>
      <c r="G33" t="s">
        <v>15</v>
      </c>
      <c r="H33" t="s">
        <v>16</v>
      </c>
    </row>
    <row r="34" spans="1:8" x14ac:dyDescent="0.3">
      <c r="A34">
        <v>1031</v>
      </c>
      <c r="B34" s="1">
        <v>45373</v>
      </c>
      <c r="C34" t="s">
        <v>10</v>
      </c>
      <c r="D34" t="s">
        <v>11</v>
      </c>
      <c r="E34">
        <v>2</v>
      </c>
      <c r="F34">
        <v>12000</v>
      </c>
      <c r="G34" t="s">
        <v>18</v>
      </c>
      <c r="H34" t="s">
        <v>19</v>
      </c>
    </row>
    <row r="35" spans="1:8" x14ac:dyDescent="0.3">
      <c r="A35">
        <v>1032</v>
      </c>
      <c r="B35" s="1">
        <v>45375</v>
      </c>
      <c r="C35" t="s">
        <v>14</v>
      </c>
      <c r="D35" t="s">
        <v>11</v>
      </c>
      <c r="E35">
        <v>4</v>
      </c>
      <c r="F35">
        <v>8000</v>
      </c>
      <c r="G35" t="s">
        <v>22</v>
      </c>
      <c r="H35" t="s">
        <v>23</v>
      </c>
    </row>
    <row r="36" spans="1:8" x14ac:dyDescent="0.3">
      <c r="A36">
        <v>1033</v>
      </c>
      <c r="B36" s="1">
        <v>45377</v>
      </c>
      <c r="C36" t="s">
        <v>17</v>
      </c>
      <c r="D36" t="s">
        <v>11</v>
      </c>
      <c r="E36">
        <v>3</v>
      </c>
      <c r="F36">
        <v>6000</v>
      </c>
      <c r="G36" t="s">
        <v>12</v>
      </c>
      <c r="H36" t="s">
        <v>13</v>
      </c>
    </row>
    <row r="37" spans="1:8" x14ac:dyDescent="0.3">
      <c r="A37">
        <v>1034</v>
      </c>
      <c r="B37" s="1">
        <v>45379</v>
      </c>
      <c r="C37" t="s">
        <v>20</v>
      </c>
      <c r="D37" t="s">
        <v>21</v>
      </c>
      <c r="E37">
        <v>6</v>
      </c>
      <c r="F37">
        <v>1500</v>
      </c>
      <c r="G37" t="s">
        <v>15</v>
      </c>
      <c r="H37" t="s">
        <v>16</v>
      </c>
    </row>
    <row r="38" spans="1:8" x14ac:dyDescent="0.3">
      <c r="A38">
        <v>1035</v>
      </c>
      <c r="B38" s="1">
        <v>45381</v>
      </c>
      <c r="C38" t="s">
        <v>24</v>
      </c>
      <c r="D38" t="s">
        <v>21</v>
      </c>
      <c r="E38">
        <v>2</v>
      </c>
      <c r="F38">
        <v>3000</v>
      </c>
      <c r="G38" t="s">
        <v>18</v>
      </c>
      <c r="H38" t="s">
        <v>19</v>
      </c>
    </row>
    <row r="39" spans="1:8" x14ac:dyDescent="0.3">
      <c r="A39">
        <v>1036</v>
      </c>
      <c r="B39" s="1">
        <v>45384</v>
      </c>
      <c r="C39" t="s">
        <v>10</v>
      </c>
      <c r="D39" t="s">
        <v>11</v>
      </c>
      <c r="E39">
        <v>1</v>
      </c>
      <c r="F39">
        <v>12000</v>
      </c>
      <c r="G39" t="s">
        <v>22</v>
      </c>
      <c r="H39" t="s">
        <v>23</v>
      </c>
    </row>
    <row r="40" spans="1:8" x14ac:dyDescent="0.3">
      <c r="A40">
        <v>1037</v>
      </c>
      <c r="B40" s="1">
        <v>45386</v>
      </c>
      <c r="C40" t="s">
        <v>14</v>
      </c>
      <c r="D40" t="s">
        <v>11</v>
      </c>
      <c r="E40">
        <v>7</v>
      </c>
      <c r="F40">
        <v>8000</v>
      </c>
      <c r="G40" t="s">
        <v>12</v>
      </c>
      <c r="H40" t="s">
        <v>13</v>
      </c>
    </row>
    <row r="41" spans="1:8" x14ac:dyDescent="0.3">
      <c r="A41">
        <v>1038</v>
      </c>
      <c r="B41" s="1">
        <v>45388</v>
      </c>
      <c r="C41" t="s">
        <v>17</v>
      </c>
      <c r="D41" t="s">
        <v>11</v>
      </c>
      <c r="E41">
        <v>2</v>
      </c>
      <c r="F41">
        <v>6000</v>
      </c>
      <c r="G41" t="s">
        <v>15</v>
      </c>
      <c r="H41" t="s">
        <v>16</v>
      </c>
    </row>
    <row r="42" spans="1:8" x14ac:dyDescent="0.3">
      <c r="A42">
        <v>1039</v>
      </c>
      <c r="B42" s="1">
        <v>45390</v>
      </c>
      <c r="C42" t="s">
        <v>20</v>
      </c>
      <c r="D42" t="s">
        <v>21</v>
      </c>
      <c r="E42">
        <v>4</v>
      </c>
      <c r="F42">
        <v>1500</v>
      </c>
      <c r="G42" t="s">
        <v>18</v>
      </c>
      <c r="H42" t="s">
        <v>19</v>
      </c>
    </row>
    <row r="43" spans="1:8" x14ac:dyDescent="0.3">
      <c r="A43">
        <v>1040</v>
      </c>
      <c r="B43" s="1">
        <v>45392</v>
      </c>
      <c r="C43" t="s">
        <v>24</v>
      </c>
      <c r="D43" t="s">
        <v>21</v>
      </c>
      <c r="E43">
        <v>3</v>
      </c>
      <c r="F43">
        <v>3000</v>
      </c>
      <c r="G43" t="s">
        <v>22</v>
      </c>
      <c r="H43" t="s">
        <v>23</v>
      </c>
    </row>
    <row r="44" spans="1:8" x14ac:dyDescent="0.3">
      <c r="A44">
        <v>1041</v>
      </c>
      <c r="B44" s="1">
        <v>45394</v>
      </c>
      <c r="C44" t="s">
        <v>10</v>
      </c>
      <c r="D44" t="s">
        <v>11</v>
      </c>
      <c r="E44">
        <v>2</v>
      </c>
      <c r="F44">
        <v>12000</v>
      </c>
      <c r="G44" t="s">
        <v>12</v>
      </c>
      <c r="H44" t="s">
        <v>13</v>
      </c>
    </row>
    <row r="45" spans="1:8" x14ac:dyDescent="0.3">
      <c r="A45">
        <v>1042</v>
      </c>
      <c r="B45" s="1">
        <v>45396</v>
      </c>
      <c r="C45" t="s">
        <v>14</v>
      </c>
      <c r="D45" t="s">
        <v>11</v>
      </c>
      <c r="E45">
        <v>5</v>
      </c>
      <c r="F45">
        <v>8000</v>
      </c>
      <c r="G45" t="s">
        <v>15</v>
      </c>
      <c r="H45" t="s">
        <v>16</v>
      </c>
    </row>
    <row r="46" spans="1:8" x14ac:dyDescent="0.3">
      <c r="A46">
        <v>1043</v>
      </c>
      <c r="B46" s="1">
        <v>45398</v>
      </c>
      <c r="C46" t="s">
        <v>17</v>
      </c>
      <c r="D46" t="s">
        <v>11</v>
      </c>
      <c r="E46">
        <v>3</v>
      </c>
      <c r="F46">
        <v>6000</v>
      </c>
      <c r="G46" t="s">
        <v>18</v>
      </c>
      <c r="H46" t="s">
        <v>19</v>
      </c>
    </row>
    <row r="47" spans="1:8" x14ac:dyDescent="0.3">
      <c r="A47">
        <v>1044</v>
      </c>
      <c r="B47" s="1">
        <v>45400</v>
      </c>
      <c r="C47" t="s">
        <v>20</v>
      </c>
      <c r="D47" t="s">
        <v>21</v>
      </c>
      <c r="F47">
        <v>1500</v>
      </c>
      <c r="G47" t="s">
        <v>22</v>
      </c>
      <c r="H47" t="s">
        <v>23</v>
      </c>
    </row>
    <row r="48" spans="1:8" x14ac:dyDescent="0.3">
      <c r="A48">
        <v>1045</v>
      </c>
      <c r="B48" s="1">
        <v>45402</v>
      </c>
      <c r="C48" t="s">
        <v>24</v>
      </c>
      <c r="D48" t="s">
        <v>21</v>
      </c>
      <c r="E48">
        <v>2</v>
      </c>
      <c r="F48">
        <v>3000</v>
      </c>
      <c r="G48" t="s">
        <v>12</v>
      </c>
      <c r="H48" t="s">
        <v>13</v>
      </c>
    </row>
    <row r="49" spans="1:8" x14ac:dyDescent="0.3">
      <c r="A49">
        <v>1046</v>
      </c>
      <c r="B49" s="1">
        <v>45404</v>
      </c>
      <c r="C49" t="s">
        <v>10</v>
      </c>
      <c r="D49" t="s">
        <v>11</v>
      </c>
      <c r="E49">
        <v>1</v>
      </c>
      <c r="F49">
        <v>12000</v>
      </c>
      <c r="G49" t="s">
        <v>15</v>
      </c>
      <c r="H49" t="s">
        <v>36</v>
      </c>
    </row>
    <row r="50" spans="1:8" x14ac:dyDescent="0.3">
      <c r="A50">
        <v>1047</v>
      </c>
      <c r="B50" s="1">
        <v>45406</v>
      </c>
      <c r="C50" t="s">
        <v>14</v>
      </c>
      <c r="D50" t="s">
        <v>11</v>
      </c>
      <c r="E50">
        <v>6</v>
      </c>
      <c r="F50">
        <v>8000</v>
      </c>
      <c r="G50" t="s">
        <v>18</v>
      </c>
      <c r="H50" t="s">
        <v>19</v>
      </c>
    </row>
    <row r="51" spans="1:8" x14ac:dyDescent="0.3">
      <c r="A51">
        <v>1048</v>
      </c>
      <c r="B51" s="1">
        <v>45408</v>
      </c>
      <c r="C51" t="s">
        <v>17</v>
      </c>
      <c r="D51" t="s">
        <v>11</v>
      </c>
      <c r="E51">
        <v>2</v>
      </c>
      <c r="F51">
        <v>6000</v>
      </c>
      <c r="G51" t="s">
        <v>22</v>
      </c>
      <c r="H51" t="s">
        <v>23</v>
      </c>
    </row>
    <row r="52" spans="1:8" x14ac:dyDescent="0.3">
      <c r="A52">
        <v>1049</v>
      </c>
      <c r="B52" s="1">
        <v>45410</v>
      </c>
      <c r="C52" t="s">
        <v>20</v>
      </c>
      <c r="D52" t="s">
        <v>21</v>
      </c>
      <c r="E52">
        <v>5</v>
      </c>
      <c r="F52">
        <v>1500</v>
      </c>
      <c r="G52" t="s">
        <v>12</v>
      </c>
      <c r="H52" t="s">
        <v>13</v>
      </c>
    </row>
    <row r="53" spans="1:8" x14ac:dyDescent="0.3">
      <c r="A53">
        <v>1050</v>
      </c>
      <c r="B53" s="1">
        <v>45412</v>
      </c>
      <c r="C53" t="s">
        <v>24</v>
      </c>
      <c r="D53" t="s">
        <v>21</v>
      </c>
      <c r="E53">
        <v>3</v>
      </c>
      <c r="F53">
        <v>3000</v>
      </c>
      <c r="G53" t="s">
        <v>15</v>
      </c>
      <c r="H53"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88884-8FE8-4144-9D38-628BFB9F9927}">
  <dimension ref="A1:L52"/>
  <sheetViews>
    <sheetView workbookViewId="0">
      <selection activeCell="I53" sqref="I53"/>
    </sheetView>
  </sheetViews>
  <sheetFormatPr defaultRowHeight="14.4" x14ac:dyDescent="0.3"/>
  <cols>
    <col min="1" max="1" width="15.109375" bestFit="1" customWidth="1"/>
    <col min="2" max="2" width="10.33203125" bestFit="1" customWidth="1"/>
    <col min="3" max="3" width="9.77734375" bestFit="1" customWidth="1"/>
    <col min="4" max="4" width="10.33203125" bestFit="1" customWidth="1"/>
    <col min="5" max="5" width="10.109375" bestFit="1" customWidth="1"/>
    <col min="6" max="6" width="7.5546875" bestFit="1" customWidth="1"/>
    <col min="7" max="7" width="8.33203125" bestFit="1" customWidth="1"/>
    <col min="8" max="8" width="13.21875" bestFit="1" customWidth="1"/>
    <col min="9" max="9" width="9.77734375" bestFit="1" customWidth="1"/>
    <col min="10" max="10" width="8.5546875" hidden="1" customWidth="1"/>
    <col min="11" max="11" width="10.6640625" bestFit="1" customWidth="1"/>
    <col min="12" max="13" width="9.44140625" bestFit="1" customWidth="1"/>
    <col min="14" max="14" width="12.109375" bestFit="1" customWidth="1"/>
  </cols>
  <sheetData>
    <row r="1" spans="1:12" x14ac:dyDescent="0.3">
      <c r="A1" t="s">
        <v>0</v>
      </c>
      <c r="B1" t="s">
        <v>1</v>
      </c>
      <c r="C1" t="s">
        <v>2</v>
      </c>
      <c r="D1" t="s">
        <v>3</v>
      </c>
      <c r="E1" t="s">
        <v>4</v>
      </c>
      <c r="F1" t="s">
        <v>5</v>
      </c>
      <c r="G1" t="s">
        <v>6</v>
      </c>
      <c r="H1" t="s">
        <v>7</v>
      </c>
      <c r="I1" t="s">
        <v>8</v>
      </c>
      <c r="J1" t="s">
        <v>9</v>
      </c>
      <c r="K1" t="s">
        <v>38</v>
      </c>
      <c r="L1" t="s">
        <v>34</v>
      </c>
    </row>
    <row r="2" spans="1:12" x14ac:dyDescent="0.3">
      <c r="A2">
        <v>1005</v>
      </c>
      <c r="B2" s="1">
        <v>45311</v>
      </c>
      <c r="C2" t="s">
        <v>24</v>
      </c>
      <c r="D2" t="s">
        <v>21</v>
      </c>
      <c r="E2">
        <v>2</v>
      </c>
      <c r="F2">
        <v>3000</v>
      </c>
      <c r="G2" t="s">
        <v>12</v>
      </c>
      <c r="H2" t="s">
        <v>13</v>
      </c>
      <c r="I2">
        <v>6000</v>
      </c>
      <c r="J2">
        <v>1</v>
      </c>
      <c r="K2" s="10" t="s">
        <v>36</v>
      </c>
      <c r="L2" t="str">
        <f>TEXT(B2, "mmm")</f>
        <v>Jan</v>
      </c>
    </row>
    <row r="3" spans="1:12" x14ac:dyDescent="0.3">
      <c r="A3">
        <v>1015</v>
      </c>
      <c r="B3" s="1">
        <v>45337</v>
      </c>
      <c r="C3" t="s">
        <v>24</v>
      </c>
      <c r="D3" t="s">
        <v>21</v>
      </c>
      <c r="E3">
        <v>2</v>
      </c>
      <c r="F3">
        <v>3000</v>
      </c>
      <c r="G3" t="s">
        <v>18</v>
      </c>
      <c r="H3" t="s">
        <v>19</v>
      </c>
      <c r="I3">
        <v>6000</v>
      </c>
      <c r="J3">
        <v>2</v>
      </c>
      <c r="K3" s="10" t="s">
        <v>36</v>
      </c>
      <c r="L3" t="str">
        <f>TEXT(B3, "mmm")</f>
        <v>Feb</v>
      </c>
    </row>
    <row r="4" spans="1:12" x14ac:dyDescent="0.3">
      <c r="A4">
        <v>1019</v>
      </c>
      <c r="B4" s="1">
        <v>45347</v>
      </c>
      <c r="C4" t="s">
        <v>20</v>
      </c>
      <c r="D4" t="s">
        <v>21</v>
      </c>
      <c r="E4">
        <v>4</v>
      </c>
      <c r="F4">
        <v>1500</v>
      </c>
      <c r="G4" t="s">
        <v>18</v>
      </c>
      <c r="H4" t="s">
        <v>19</v>
      </c>
      <c r="I4">
        <v>6000</v>
      </c>
      <c r="J4">
        <v>2</v>
      </c>
      <c r="K4" s="10" t="s">
        <v>36</v>
      </c>
      <c r="L4" t="str">
        <f>TEXT(B4, "mmm")</f>
        <v>Feb</v>
      </c>
    </row>
    <row r="5" spans="1:12" x14ac:dyDescent="0.3">
      <c r="A5">
        <v>1024</v>
      </c>
      <c r="B5" s="1">
        <v>45359</v>
      </c>
      <c r="C5" t="s">
        <v>20</v>
      </c>
      <c r="D5" t="s">
        <v>21</v>
      </c>
      <c r="E5">
        <v>4</v>
      </c>
      <c r="F5">
        <v>1500</v>
      </c>
      <c r="G5" t="s">
        <v>22</v>
      </c>
      <c r="H5" t="s">
        <v>23</v>
      </c>
      <c r="I5">
        <v>6000</v>
      </c>
      <c r="J5">
        <v>3</v>
      </c>
      <c r="K5" s="10" t="s">
        <v>36</v>
      </c>
      <c r="L5" t="str">
        <f>TEXT(B5, "mmm")</f>
        <v>Mar</v>
      </c>
    </row>
    <row r="6" spans="1:12" x14ac:dyDescent="0.3">
      <c r="A6">
        <v>1025</v>
      </c>
      <c r="B6" s="1">
        <v>45361</v>
      </c>
      <c r="C6" t="s">
        <v>24</v>
      </c>
      <c r="D6" t="s">
        <v>21</v>
      </c>
      <c r="E6">
        <v>2</v>
      </c>
      <c r="F6">
        <v>3000</v>
      </c>
      <c r="G6" t="s">
        <v>12</v>
      </c>
      <c r="H6" t="s">
        <v>13</v>
      </c>
      <c r="I6">
        <v>6000</v>
      </c>
      <c r="J6">
        <v>3</v>
      </c>
      <c r="K6" s="10" t="s">
        <v>36</v>
      </c>
      <c r="L6" t="str">
        <f>TEXT(B6, "mmm")</f>
        <v>Mar</v>
      </c>
    </row>
    <row r="7" spans="1:12" x14ac:dyDescent="0.3">
      <c r="A7">
        <v>1035</v>
      </c>
      <c r="B7" s="1">
        <v>45381</v>
      </c>
      <c r="C7" t="s">
        <v>24</v>
      </c>
      <c r="D7" t="s">
        <v>21</v>
      </c>
      <c r="E7">
        <v>2</v>
      </c>
      <c r="F7">
        <v>3000</v>
      </c>
      <c r="G7" t="s">
        <v>18</v>
      </c>
      <c r="H7" t="s">
        <v>19</v>
      </c>
      <c r="I7">
        <v>6000</v>
      </c>
      <c r="J7">
        <v>3</v>
      </c>
      <c r="K7" s="10" t="s">
        <v>36</v>
      </c>
      <c r="L7" t="str">
        <f>TEXT(B7, "mmm")</f>
        <v>Mar</v>
      </c>
    </row>
    <row r="8" spans="1:12" x14ac:dyDescent="0.3">
      <c r="A8">
        <v>1039</v>
      </c>
      <c r="B8" s="1">
        <v>45390</v>
      </c>
      <c r="C8" t="s">
        <v>20</v>
      </c>
      <c r="D8" t="s">
        <v>21</v>
      </c>
      <c r="E8">
        <v>4</v>
      </c>
      <c r="F8">
        <v>1500</v>
      </c>
      <c r="G8" t="s">
        <v>18</v>
      </c>
      <c r="H8" t="s">
        <v>19</v>
      </c>
      <c r="I8">
        <v>6000</v>
      </c>
      <c r="J8">
        <v>4</v>
      </c>
      <c r="K8" s="10" t="s">
        <v>36</v>
      </c>
      <c r="L8" t="str">
        <f>TEXT(B8, "mmm")</f>
        <v>Apr</v>
      </c>
    </row>
    <row r="9" spans="1:12" x14ac:dyDescent="0.3">
      <c r="A9">
        <v>1045</v>
      </c>
      <c r="B9" s="1">
        <v>45402</v>
      </c>
      <c r="C9" t="s">
        <v>24</v>
      </c>
      <c r="D9" t="s">
        <v>21</v>
      </c>
      <c r="E9">
        <v>2</v>
      </c>
      <c r="F9">
        <v>3000</v>
      </c>
      <c r="G9" t="s">
        <v>12</v>
      </c>
      <c r="H9" t="s">
        <v>13</v>
      </c>
      <c r="I9">
        <v>6000</v>
      </c>
      <c r="J9">
        <v>4</v>
      </c>
      <c r="K9" s="10" t="s">
        <v>36</v>
      </c>
      <c r="L9" t="str">
        <f>TEXT(B9, "mmm")</f>
        <v>Apr</v>
      </c>
    </row>
    <row r="10" spans="1:12" x14ac:dyDescent="0.3">
      <c r="A10">
        <v>1004</v>
      </c>
      <c r="B10" s="1">
        <v>45306</v>
      </c>
      <c r="C10" t="s">
        <v>20</v>
      </c>
      <c r="D10" t="s">
        <v>21</v>
      </c>
      <c r="E10">
        <v>5</v>
      </c>
      <c r="F10">
        <v>1500</v>
      </c>
      <c r="G10" t="s">
        <v>22</v>
      </c>
      <c r="H10" t="s">
        <v>23</v>
      </c>
      <c r="I10">
        <v>7500</v>
      </c>
      <c r="J10">
        <v>1</v>
      </c>
      <c r="K10" s="10" t="s">
        <v>36</v>
      </c>
      <c r="L10" t="str">
        <f>TEXT(B10, "mmm")</f>
        <v>Jan</v>
      </c>
    </row>
    <row r="11" spans="1:12" x14ac:dyDescent="0.3">
      <c r="A11">
        <v>1009</v>
      </c>
      <c r="B11" s="1">
        <v>45323</v>
      </c>
      <c r="C11" t="s">
        <v>20</v>
      </c>
      <c r="D11" t="s">
        <v>21</v>
      </c>
      <c r="E11">
        <v>5</v>
      </c>
      <c r="F11">
        <v>1500</v>
      </c>
      <c r="G11" t="s">
        <v>12</v>
      </c>
      <c r="H11" t="s">
        <v>13</v>
      </c>
      <c r="I11">
        <v>7500</v>
      </c>
      <c r="J11">
        <v>2</v>
      </c>
      <c r="K11" s="10" t="s">
        <v>36</v>
      </c>
      <c r="L11" t="str">
        <f>TEXT(B11, "mmm")</f>
        <v>Feb</v>
      </c>
    </row>
    <row r="12" spans="1:12" x14ac:dyDescent="0.3">
      <c r="A12">
        <v>1029</v>
      </c>
      <c r="B12" s="1">
        <v>45369</v>
      </c>
      <c r="C12" t="s">
        <v>20</v>
      </c>
      <c r="D12" t="s">
        <v>21</v>
      </c>
      <c r="E12">
        <v>5</v>
      </c>
      <c r="F12">
        <v>1500</v>
      </c>
      <c r="G12" t="s">
        <v>12</v>
      </c>
      <c r="H12" t="s">
        <v>13</v>
      </c>
      <c r="I12">
        <v>7500</v>
      </c>
      <c r="J12">
        <v>3</v>
      </c>
      <c r="K12" s="10" t="s">
        <v>36</v>
      </c>
      <c r="L12" t="str">
        <f>TEXT(B12, "mmm")</f>
        <v>Mar</v>
      </c>
    </row>
    <row r="13" spans="1:12" x14ac:dyDescent="0.3">
      <c r="A13">
        <v>1044</v>
      </c>
      <c r="B13" s="1">
        <v>45400</v>
      </c>
      <c r="C13" t="s">
        <v>20</v>
      </c>
      <c r="D13" t="s">
        <v>21</v>
      </c>
      <c r="E13">
        <v>5</v>
      </c>
      <c r="F13">
        <v>1500</v>
      </c>
      <c r="G13" t="s">
        <v>22</v>
      </c>
      <c r="H13" t="s">
        <v>23</v>
      </c>
      <c r="I13">
        <v>7500</v>
      </c>
      <c r="J13">
        <v>4</v>
      </c>
      <c r="K13" s="10" t="s">
        <v>36</v>
      </c>
      <c r="L13" t="str">
        <f>TEXT(B13, "mmm")</f>
        <v>Apr</v>
      </c>
    </row>
    <row r="14" spans="1:12" x14ac:dyDescent="0.3">
      <c r="A14">
        <v>1049</v>
      </c>
      <c r="B14" s="1">
        <v>45410</v>
      </c>
      <c r="C14" t="s">
        <v>20</v>
      </c>
      <c r="D14" t="s">
        <v>21</v>
      </c>
      <c r="E14">
        <v>5</v>
      </c>
      <c r="F14">
        <v>1500</v>
      </c>
      <c r="G14" t="s">
        <v>12</v>
      </c>
      <c r="H14" t="s">
        <v>13</v>
      </c>
      <c r="I14">
        <v>7500</v>
      </c>
      <c r="J14">
        <v>4</v>
      </c>
      <c r="K14" s="10" t="s">
        <v>36</v>
      </c>
      <c r="L14" t="str">
        <f>TEXT(B14, "mmm")</f>
        <v>Apr</v>
      </c>
    </row>
    <row r="15" spans="1:12" x14ac:dyDescent="0.3">
      <c r="A15">
        <v>1010</v>
      </c>
      <c r="B15" s="1">
        <v>45325</v>
      </c>
      <c r="C15" t="s">
        <v>24</v>
      </c>
      <c r="D15" t="s">
        <v>21</v>
      </c>
      <c r="E15">
        <v>3</v>
      </c>
      <c r="F15">
        <v>3000</v>
      </c>
      <c r="G15" t="s">
        <v>15</v>
      </c>
      <c r="H15" t="s">
        <v>25</v>
      </c>
      <c r="I15">
        <v>9000</v>
      </c>
      <c r="J15">
        <v>2</v>
      </c>
      <c r="K15" s="10" t="s">
        <v>36</v>
      </c>
      <c r="L15" t="str">
        <f>TEXT(B15, "mmm")</f>
        <v>Feb</v>
      </c>
    </row>
    <row r="16" spans="1:12" x14ac:dyDescent="0.3">
      <c r="A16">
        <v>1014</v>
      </c>
      <c r="B16" s="1">
        <v>45334</v>
      </c>
      <c r="C16" t="s">
        <v>20</v>
      </c>
      <c r="D16" t="s">
        <v>21</v>
      </c>
      <c r="E16">
        <v>6</v>
      </c>
      <c r="F16">
        <v>1500</v>
      </c>
      <c r="G16" t="s">
        <v>15</v>
      </c>
      <c r="H16" t="s">
        <v>16</v>
      </c>
      <c r="I16">
        <v>9000</v>
      </c>
      <c r="J16">
        <v>2</v>
      </c>
      <c r="K16" s="10" t="s">
        <v>36</v>
      </c>
      <c r="L16" t="str">
        <f>TEXT(B16, "mmm")</f>
        <v>Feb</v>
      </c>
    </row>
    <row r="17" spans="1:12" x14ac:dyDescent="0.3">
      <c r="A17">
        <v>1020</v>
      </c>
      <c r="B17" s="1">
        <v>45350</v>
      </c>
      <c r="C17" t="s">
        <v>24</v>
      </c>
      <c r="D17" t="s">
        <v>21</v>
      </c>
      <c r="E17">
        <v>3</v>
      </c>
      <c r="F17">
        <v>3000</v>
      </c>
      <c r="G17" t="s">
        <v>22</v>
      </c>
      <c r="H17" t="s">
        <v>23</v>
      </c>
      <c r="I17">
        <v>9000</v>
      </c>
      <c r="J17">
        <v>2</v>
      </c>
      <c r="K17" s="10" t="s">
        <v>36</v>
      </c>
      <c r="L17" t="str">
        <f>TEXT(B17, "mmm")</f>
        <v>Feb</v>
      </c>
    </row>
    <row r="18" spans="1:12" x14ac:dyDescent="0.3">
      <c r="A18">
        <v>1030</v>
      </c>
      <c r="B18" s="1">
        <v>45371</v>
      </c>
      <c r="C18" t="s">
        <v>24</v>
      </c>
      <c r="D18" t="s">
        <v>21</v>
      </c>
      <c r="E18">
        <v>3</v>
      </c>
      <c r="F18">
        <v>3000</v>
      </c>
      <c r="G18" t="s">
        <v>15</v>
      </c>
      <c r="H18" t="s">
        <v>16</v>
      </c>
      <c r="I18">
        <v>9000</v>
      </c>
      <c r="J18">
        <v>3</v>
      </c>
      <c r="K18" s="10" t="s">
        <v>36</v>
      </c>
      <c r="L18" t="str">
        <f>TEXT(B18, "mmm")</f>
        <v>Mar</v>
      </c>
    </row>
    <row r="19" spans="1:12" x14ac:dyDescent="0.3">
      <c r="A19">
        <v>1034</v>
      </c>
      <c r="B19" s="1">
        <v>45379</v>
      </c>
      <c r="C19" t="s">
        <v>20</v>
      </c>
      <c r="D19" t="s">
        <v>21</v>
      </c>
      <c r="E19">
        <v>6</v>
      </c>
      <c r="F19">
        <v>1500</v>
      </c>
      <c r="G19" t="s">
        <v>15</v>
      </c>
      <c r="H19" t="s">
        <v>16</v>
      </c>
      <c r="I19">
        <v>9000</v>
      </c>
      <c r="J19">
        <v>3</v>
      </c>
      <c r="K19" s="10" t="s">
        <v>36</v>
      </c>
      <c r="L19" t="str">
        <f>TEXT(B19, "mmm")</f>
        <v>Mar</v>
      </c>
    </row>
    <row r="20" spans="1:12" x14ac:dyDescent="0.3">
      <c r="A20">
        <v>1040</v>
      </c>
      <c r="B20" s="1">
        <v>45392</v>
      </c>
      <c r="C20" t="s">
        <v>24</v>
      </c>
      <c r="D20" t="s">
        <v>21</v>
      </c>
      <c r="E20">
        <v>3</v>
      </c>
      <c r="F20">
        <v>3000</v>
      </c>
      <c r="G20" t="s">
        <v>22</v>
      </c>
      <c r="H20" t="s">
        <v>23</v>
      </c>
      <c r="I20">
        <v>9000</v>
      </c>
      <c r="J20">
        <v>4</v>
      </c>
      <c r="K20" s="10" t="s">
        <v>36</v>
      </c>
      <c r="L20" t="str">
        <f>TEXT(B20, "mmm")</f>
        <v>Apr</v>
      </c>
    </row>
    <row r="21" spans="1:12" x14ac:dyDescent="0.3">
      <c r="A21">
        <v>1050</v>
      </c>
      <c r="B21" s="1">
        <v>45412</v>
      </c>
      <c r="C21" t="s">
        <v>24</v>
      </c>
      <c r="D21" t="s">
        <v>21</v>
      </c>
      <c r="E21">
        <v>3</v>
      </c>
      <c r="F21">
        <v>3000</v>
      </c>
      <c r="G21" t="s">
        <v>15</v>
      </c>
      <c r="H21" t="s">
        <v>16</v>
      </c>
      <c r="I21">
        <v>9000</v>
      </c>
      <c r="J21">
        <v>4</v>
      </c>
      <c r="K21" s="10" t="s">
        <v>36</v>
      </c>
      <c r="L21" t="str">
        <f>TEXT(B21, "mmm")</f>
        <v>Apr</v>
      </c>
    </row>
    <row r="22" spans="1:12" x14ac:dyDescent="0.3">
      <c r="A22">
        <v>1006</v>
      </c>
      <c r="B22" s="1">
        <v>45313</v>
      </c>
      <c r="C22" t="s">
        <v>10</v>
      </c>
      <c r="D22" t="s">
        <v>11</v>
      </c>
      <c r="E22">
        <v>1</v>
      </c>
      <c r="F22">
        <v>12000</v>
      </c>
      <c r="G22" t="s">
        <v>15</v>
      </c>
      <c r="H22" t="s">
        <v>16</v>
      </c>
      <c r="I22">
        <v>12000</v>
      </c>
      <c r="J22">
        <v>1</v>
      </c>
      <c r="K22" s="10" t="s">
        <v>36</v>
      </c>
      <c r="L22" t="str">
        <f>TEXT(B22, "mmm")</f>
        <v>Jan</v>
      </c>
    </row>
    <row r="23" spans="1:12" x14ac:dyDescent="0.3">
      <c r="A23">
        <v>1008</v>
      </c>
      <c r="B23" s="1">
        <v>45319</v>
      </c>
      <c r="C23" t="s">
        <v>17</v>
      </c>
      <c r="D23" t="s">
        <v>11</v>
      </c>
      <c r="E23">
        <v>2</v>
      </c>
      <c r="F23">
        <v>6000</v>
      </c>
      <c r="G23" t="s">
        <v>22</v>
      </c>
      <c r="H23" t="s">
        <v>23</v>
      </c>
      <c r="I23">
        <v>12000</v>
      </c>
      <c r="J23">
        <v>1</v>
      </c>
      <c r="K23" s="10" t="s">
        <v>36</v>
      </c>
      <c r="L23" t="str">
        <f>TEXT(B23, "mmm")</f>
        <v>Jan</v>
      </c>
    </row>
    <row r="24" spans="1:12" x14ac:dyDescent="0.3">
      <c r="A24">
        <v>1016</v>
      </c>
      <c r="B24" s="1">
        <v>45340</v>
      </c>
      <c r="C24" t="s">
        <v>10</v>
      </c>
      <c r="D24" t="s">
        <v>11</v>
      </c>
      <c r="E24">
        <v>1</v>
      </c>
      <c r="F24">
        <v>12000</v>
      </c>
      <c r="G24" t="s">
        <v>22</v>
      </c>
      <c r="H24" t="s">
        <v>23</v>
      </c>
      <c r="I24">
        <v>12000</v>
      </c>
      <c r="J24">
        <v>2</v>
      </c>
      <c r="K24" s="10" t="s">
        <v>36</v>
      </c>
      <c r="L24" t="str">
        <f>TEXT(B24, "mmm")</f>
        <v>Feb</v>
      </c>
    </row>
    <row r="25" spans="1:12" x14ac:dyDescent="0.3">
      <c r="A25">
        <v>1018</v>
      </c>
      <c r="B25" s="1">
        <v>45344</v>
      </c>
      <c r="C25" t="s">
        <v>17</v>
      </c>
      <c r="D25" t="s">
        <v>11</v>
      </c>
      <c r="E25">
        <v>2</v>
      </c>
      <c r="F25">
        <v>6000</v>
      </c>
      <c r="G25" t="s">
        <v>15</v>
      </c>
      <c r="H25" t="s">
        <v>16</v>
      </c>
      <c r="I25">
        <v>12000</v>
      </c>
      <c r="J25">
        <v>2</v>
      </c>
      <c r="K25" s="10" t="s">
        <v>36</v>
      </c>
      <c r="L25" t="str">
        <f>TEXT(B25, "mmm")</f>
        <v>Feb</v>
      </c>
    </row>
    <row r="26" spans="1:12" x14ac:dyDescent="0.3">
      <c r="A26">
        <v>1026</v>
      </c>
      <c r="B26" s="1">
        <v>45363</v>
      </c>
      <c r="C26" t="s">
        <v>10</v>
      </c>
      <c r="D26" t="s">
        <v>11</v>
      </c>
      <c r="E26">
        <v>1</v>
      </c>
      <c r="F26">
        <v>12000</v>
      </c>
      <c r="G26" t="s">
        <v>15</v>
      </c>
      <c r="H26" t="s">
        <v>16</v>
      </c>
      <c r="I26">
        <v>12000</v>
      </c>
      <c r="J26">
        <v>3</v>
      </c>
      <c r="K26" s="10" t="s">
        <v>36</v>
      </c>
      <c r="L26" t="str">
        <f>TEXT(B26, "mmm")</f>
        <v>Mar</v>
      </c>
    </row>
    <row r="27" spans="1:12" x14ac:dyDescent="0.3">
      <c r="A27">
        <v>1028</v>
      </c>
      <c r="B27" s="1">
        <v>45367</v>
      </c>
      <c r="C27" t="s">
        <v>17</v>
      </c>
      <c r="D27" t="s">
        <v>11</v>
      </c>
      <c r="E27">
        <v>2</v>
      </c>
      <c r="F27">
        <v>6000</v>
      </c>
      <c r="G27" t="s">
        <v>22</v>
      </c>
      <c r="H27" t="s">
        <v>23</v>
      </c>
      <c r="I27">
        <v>12000</v>
      </c>
      <c r="J27">
        <v>3</v>
      </c>
      <c r="K27" s="10" t="s">
        <v>36</v>
      </c>
      <c r="L27" t="str">
        <f>TEXT(B27, "mmm")</f>
        <v>Mar</v>
      </c>
    </row>
    <row r="28" spans="1:12" x14ac:dyDescent="0.3">
      <c r="A28">
        <v>1036</v>
      </c>
      <c r="B28" s="1">
        <v>45384</v>
      </c>
      <c r="C28" t="s">
        <v>10</v>
      </c>
      <c r="D28" t="s">
        <v>11</v>
      </c>
      <c r="E28">
        <v>1</v>
      </c>
      <c r="F28">
        <v>12000</v>
      </c>
      <c r="G28" t="s">
        <v>22</v>
      </c>
      <c r="H28" t="s">
        <v>23</v>
      </c>
      <c r="I28">
        <v>12000</v>
      </c>
      <c r="J28">
        <v>4</v>
      </c>
      <c r="K28" s="10" t="s">
        <v>36</v>
      </c>
      <c r="L28" t="str">
        <f>TEXT(B28, "mmm")</f>
        <v>Apr</v>
      </c>
    </row>
    <row r="29" spans="1:12" x14ac:dyDescent="0.3">
      <c r="A29">
        <v>1038</v>
      </c>
      <c r="B29" s="1">
        <v>45388</v>
      </c>
      <c r="C29" t="s">
        <v>17</v>
      </c>
      <c r="D29" t="s">
        <v>11</v>
      </c>
      <c r="E29">
        <v>2</v>
      </c>
      <c r="F29">
        <v>6000</v>
      </c>
      <c r="G29" t="s">
        <v>15</v>
      </c>
      <c r="H29" t="s">
        <v>16</v>
      </c>
      <c r="I29">
        <v>12000</v>
      </c>
      <c r="J29">
        <v>4</v>
      </c>
      <c r="K29" s="10" t="s">
        <v>36</v>
      </c>
      <c r="L29" t="str">
        <f>TEXT(B29, "mmm")</f>
        <v>Apr</v>
      </c>
    </row>
    <row r="30" spans="1:12" x14ac:dyDescent="0.3">
      <c r="A30">
        <v>1046</v>
      </c>
      <c r="B30" s="1">
        <v>45404</v>
      </c>
      <c r="C30" t="s">
        <v>10</v>
      </c>
      <c r="D30" t="s">
        <v>11</v>
      </c>
      <c r="E30">
        <v>1</v>
      </c>
      <c r="F30">
        <v>12000</v>
      </c>
      <c r="G30" t="s">
        <v>15</v>
      </c>
      <c r="H30" t="s">
        <v>25</v>
      </c>
      <c r="I30">
        <v>12000</v>
      </c>
      <c r="J30">
        <v>4</v>
      </c>
      <c r="K30" s="10" t="s">
        <v>36</v>
      </c>
      <c r="L30" t="str">
        <f>TEXT(B30, "mmm")</f>
        <v>Apr</v>
      </c>
    </row>
    <row r="31" spans="1:12" x14ac:dyDescent="0.3">
      <c r="A31">
        <v>1048</v>
      </c>
      <c r="B31" s="1">
        <v>45408</v>
      </c>
      <c r="C31" t="s">
        <v>17</v>
      </c>
      <c r="D31" t="s">
        <v>11</v>
      </c>
      <c r="E31">
        <v>2</v>
      </c>
      <c r="F31">
        <v>6000</v>
      </c>
      <c r="G31" t="s">
        <v>22</v>
      </c>
      <c r="H31" t="s">
        <v>23</v>
      </c>
      <c r="I31">
        <v>12000</v>
      </c>
      <c r="J31">
        <v>4</v>
      </c>
      <c r="K31" s="10" t="s">
        <v>36</v>
      </c>
      <c r="L31" t="str">
        <f>TEXT(B31, "mmm")</f>
        <v>Apr</v>
      </c>
    </row>
    <row r="32" spans="1:12" x14ac:dyDescent="0.3">
      <c r="A32">
        <v>1003</v>
      </c>
      <c r="B32" s="1">
        <v>45301</v>
      </c>
      <c r="C32" t="s">
        <v>17</v>
      </c>
      <c r="D32" t="s">
        <v>11</v>
      </c>
      <c r="E32">
        <v>3</v>
      </c>
      <c r="F32">
        <v>6000</v>
      </c>
      <c r="G32" t="s">
        <v>18</v>
      </c>
      <c r="H32" t="s">
        <v>19</v>
      </c>
      <c r="I32">
        <v>18000</v>
      </c>
      <c r="J32">
        <v>1</v>
      </c>
      <c r="K32" s="10" t="s">
        <v>36</v>
      </c>
      <c r="L32" t="str">
        <f>TEXT(B32, "mmm")</f>
        <v>Jan</v>
      </c>
    </row>
    <row r="33" spans="1:12" x14ac:dyDescent="0.3">
      <c r="A33">
        <v>1013</v>
      </c>
      <c r="B33" s="1">
        <v>45332</v>
      </c>
      <c r="C33" t="s">
        <v>17</v>
      </c>
      <c r="D33" t="s">
        <v>11</v>
      </c>
      <c r="E33">
        <v>3</v>
      </c>
      <c r="F33">
        <v>6000</v>
      </c>
      <c r="G33" t="s">
        <v>12</v>
      </c>
      <c r="H33" t="s">
        <v>13</v>
      </c>
      <c r="I33">
        <v>18000</v>
      </c>
      <c r="J33">
        <v>2</v>
      </c>
      <c r="K33" s="10" t="s">
        <v>36</v>
      </c>
      <c r="L33" t="str">
        <f>TEXT(B33, "mmm")</f>
        <v>Feb</v>
      </c>
    </row>
    <row r="34" spans="1:12" x14ac:dyDescent="0.3">
      <c r="A34">
        <v>1023</v>
      </c>
      <c r="B34" s="1">
        <v>45357</v>
      </c>
      <c r="C34" t="s">
        <v>17</v>
      </c>
      <c r="D34" t="s">
        <v>11</v>
      </c>
      <c r="E34">
        <v>3</v>
      </c>
      <c r="F34">
        <v>6000</v>
      </c>
      <c r="G34" t="s">
        <v>18</v>
      </c>
      <c r="H34" t="s">
        <v>19</v>
      </c>
      <c r="I34">
        <v>18000</v>
      </c>
      <c r="J34">
        <v>3</v>
      </c>
      <c r="K34" s="10" t="s">
        <v>36</v>
      </c>
      <c r="L34" t="str">
        <f>TEXT(B34, "mmm")</f>
        <v>Mar</v>
      </c>
    </row>
    <row r="35" spans="1:12" x14ac:dyDescent="0.3">
      <c r="A35">
        <v>1033</v>
      </c>
      <c r="B35" s="1">
        <v>45377</v>
      </c>
      <c r="C35" t="s">
        <v>17</v>
      </c>
      <c r="D35" t="s">
        <v>11</v>
      </c>
      <c r="E35">
        <v>3</v>
      </c>
      <c r="F35">
        <v>6000</v>
      </c>
      <c r="G35" t="s">
        <v>12</v>
      </c>
      <c r="H35" t="s">
        <v>13</v>
      </c>
      <c r="I35">
        <v>18000</v>
      </c>
      <c r="J35">
        <v>3</v>
      </c>
      <c r="K35" s="10" t="s">
        <v>36</v>
      </c>
      <c r="L35" t="str">
        <f>TEXT(B35, "mmm")</f>
        <v>Mar</v>
      </c>
    </row>
    <row r="36" spans="1:12" x14ac:dyDescent="0.3">
      <c r="A36">
        <v>1043</v>
      </c>
      <c r="B36" s="1">
        <v>45398</v>
      </c>
      <c r="C36" t="s">
        <v>17</v>
      </c>
      <c r="D36" t="s">
        <v>11</v>
      </c>
      <c r="E36">
        <v>3</v>
      </c>
      <c r="F36">
        <v>6000</v>
      </c>
      <c r="G36" t="s">
        <v>18</v>
      </c>
      <c r="H36" t="s">
        <v>19</v>
      </c>
      <c r="I36">
        <v>18000</v>
      </c>
      <c r="J36">
        <v>4</v>
      </c>
      <c r="K36" s="10" t="s">
        <v>36</v>
      </c>
      <c r="L36" t="str">
        <f>TEXT(B36, "mmm")</f>
        <v>Apr</v>
      </c>
    </row>
    <row r="37" spans="1:12" x14ac:dyDescent="0.3">
      <c r="A37">
        <v>1001</v>
      </c>
      <c r="B37" s="1">
        <v>45296</v>
      </c>
      <c r="C37" t="s">
        <v>10</v>
      </c>
      <c r="D37" t="s">
        <v>11</v>
      </c>
      <c r="E37">
        <v>2</v>
      </c>
      <c r="F37">
        <v>12000</v>
      </c>
      <c r="G37" t="s">
        <v>12</v>
      </c>
      <c r="H37" t="s">
        <v>13</v>
      </c>
      <c r="I37">
        <v>24000</v>
      </c>
      <c r="J37">
        <v>1</v>
      </c>
      <c r="K37" s="10" t="s">
        <v>36</v>
      </c>
      <c r="L37" t="str">
        <f>TEXT(B37, "mmm")</f>
        <v>Jan</v>
      </c>
    </row>
    <row r="38" spans="1:12" x14ac:dyDescent="0.3">
      <c r="A38">
        <v>1011</v>
      </c>
      <c r="B38" s="1">
        <v>45327</v>
      </c>
      <c r="C38" t="s">
        <v>10</v>
      </c>
      <c r="D38" t="s">
        <v>11</v>
      </c>
      <c r="E38">
        <v>2</v>
      </c>
      <c r="F38">
        <v>12000</v>
      </c>
      <c r="G38" t="s">
        <v>18</v>
      </c>
      <c r="H38" t="s">
        <v>19</v>
      </c>
      <c r="I38">
        <v>24000</v>
      </c>
      <c r="J38">
        <v>2</v>
      </c>
      <c r="K38" s="10" t="s">
        <v>36</v>
      </c>
      <c r="L38" t="str">
        <f>TEXT(B38, "mmm")</f>
        <v>Feb</v>
      </c>
    </row>
    <row r="39" spans="1:12" x14ac:dyDescent="0.3">
      <c r="A39">
        <v>1021</v>
      </c>
      <c r="B39" s="1">
        <v>45353</v>
      </c>
      <c r="C39" t="s">
        <v>10</v>
      </c>
      <c r="D39" t="s">
        <v>11</v>
      </c>
      <c r="E39">
        <v>2</v>
      </c>
      <c r="F39">
        <v>12000</v>
      </c>
      <c r="G39" t="s">
        <v>12</v>
      </c>
      <c r="H39" t="s">
        <v>13</v>
      </c>
      <c r="I39">
        <v>24000</v>
      </c>
      <c r="J39">
        <v>3</v>
      </c>
      <c r="K39" s="10" t="s">
        <v>36</v>
      </c>
      <c r="L39" t="str">
        <f>TEXT(B39, "mmm")</f>
        <v>Mar</v>
      </c>
    </row>
    <row r="40" spans="1:12" x14ac:dyDescent="0.3">
      <c r="A40">
        <v>1031</v>
      </c>
      <c r="B40" s="1">
        <v>45373</v>
      </c>
      <c r="C40" t="s">
        <v>10</v>
      </c>
      <c r="D40" t="s">
        <v>11</v>
      </c>
      <c r="E40">
        <v>2</v>
      </c>
      <c r="F40">
        <v>12000</v>
      </c>
      <c r="G40" t="s">
        <v>18</v>
      </c>
      <c r="H40" t="s">
        <v>19</v>
      </c>
      <c r="I40">
        <v>24000</v>
      </c>
      <c r="J40">
        <v>3</v>
      </c>
      <c r="K40" s="10" t="s">
        <v>36</v>
      </c>
      <c r="L40" t="str">
        <f>TEXT(B40, "mmm")</f>
        <v>Mar</v>
      </c>
    </row>
    <row r="41" spans="1:12" x14ac:dyDescent="0.3">
      <c r="A41">
        <v>1041</v>
      </c>
      <c r="B41" s="1">
        <v>45394</v>
      </c>
      <c r="C41" t="s">
        <v>10</v>
      </c>
      <c r="D41" t="s">
        <v>11</v>
      </c>
      <c r="E41">
        <v>2</v>
      </c>
      <c r="F41">
        <v>12000</v>
      </c>
      <c r="G41" t="s">
        <v>12</v>
      </c>
      <c r="H41" t="s">
        <v>13</v>
      </c>
      <c r="I41">
        <v>24000</v>
      </c>
      <c r="J41">
        <v>4</v>
      </c>
      <c r="K41" s="10" t="s">
        <v>36</v>
      </c>
      <c r="L41" t="str">
        <f>TEXT(B41, "mmm")</f>
        <v>Apr</v>
      </c>
    </row>
    <row r="42" spans="1:12" x14ac:dyDescent="0.3">
      <c r="A42">
        <v>1012</v>
      </c>
      <c r="B42" s="1">
        <v>45329</v>
      </c>
      <c r="C42" t="s">
        <v>14</v>
      </c>
      <c r="D42" t="s">
        <v>11</v>
      </c>
      <c r="E42">
        <v>4</v>
      </c>
      <c r="F42">
        <v>8000</v>
      </c>
      <c r="G42" t="s">
        <v>22</v>
      </c>
      <c r="H42" t="s">
        <v>23</v>
      </c>
      <c r="I42">
        <v>32000</v>
      </c>
      <c r="J42">
        <v>2</v>
      </c>
      <c r="K42" s="10" t="s">
        <v>36</v>
      </c>
      <c r="L42" t="str">
        <f>TEXT(B42, "mmm")</f>
        <v>Feb</v>
      </c>
    </row>
    <row r="43" spans="1:12" x14ac:dyDescent="0.3">
      <c r="A43">
        <v>1032</v>
      </c>
      <c r="B43" s="1">
        <v>45375</v>
      </c>
      <c r="C43" t="s">
        <v>14</v>
      </c>
      <c r="D43" t="s">
        <v>11</v>
      </c>
      <c r="E43">
        <v>4</v>
      </c>
      <c r="F43">
        <v>8000</v>
      </c>
      <c r="G43" t="s">
        <v>22</v>
      </c>
      <c r="H43" t="s">
        <v>23</v>
      </c>
      <c r="I43">
        <v>32000</v>
      </c>
      <c r="J43">
        <v>3</v>
      </c>
      <c r="K43" s="10" t="s">
        <v>36</v>
      </c>
      <c r="L43" t="str">
        <f>TEXT(B43, "mmm")</f>
        <v>Mar</v>
      </c>
    </row>
    <row r="44" spans="1:12" x14ac:dyDescent="0.3">
      <c r="A44">
        <v>1002</v>
      </c>
      <c r="B44" s="1">
        <v>45298</v>
      </c>
      <c r="C44" t="s">
        <v>14</v>
      </c>
      <c r="D44" t="s">
        <v>11</v>
      </c>
      <c r="E44">
        <v>5</v>
      </c>
      <c r="F44">
        <v>8000</v>
      </c>
      <c r="G44" t="s">
        <v>15</v>
      </c>
      <c r="H44" t="s">
        <v>16</v>
      </c>
      <c r="I44">
        <v>40000</v>
      </c>
      <c r="J44">
        <v>1</v>
      </c>
      <c r="K44" s="10" t="s">
        <v>36</v>
      </c>
      <c r="L44" t="str">
        <f>TEXT(B44, "mmm")</f>
        <v>Jan</v>
      </c>
    </row>
    <row r="45" spans="1:12" x14ac:dyDescent="0.3">
      <c r="A45">
        <v>1022</v>
      </c>
      <c r="B45" s="1">
        <v>45355</v>
      </c>
      <c r="C45" t="s">
        <v>14</v>
      </c>
      <c r="D45" t="s">
        <v>11</v>
      </c>
      <c r="E45">
        <v>5</v>
      </c>
      <c r="F45">
        <v>8000</v>
      </c>
      <c r="G45" t="s">
        <v>15</v>
      </c>
      <c r="H45" t="s">
        <v>16</v>
      </c>
      <c r="I45">
        <v>40000</v>
      </c>
      <c r="J45">
        <v>3</v>
      </c>
      <c r="K45" s="10" t="s">
        <v>36</v>
      </c>
      <c r="L45" t="str">
        <f>TEXT(B45, "mmm")</f>
        <v>Mar</v>
      </c>
    </row>
    <row r="46" spans="1:12" x14ac:dyDescent="0.3">
      <c r="A46">
        <v>1042</v>
      </c>
      <c r="B46" s="1">
        <v>45396</v>
      </c>
      <c r="C46" t="s">
        <v>14</v>
      </c>
      <c r="D46" t="s">
        <v>11</v>
      </c>
      <c r="E46">
        <v>5</v>
      </c>
      <c r="F46">
        <v>8000</v>
      </c>
      <c r="G46" t="s">
        <v>15</v>
      </c>
      <c r="H46" t="s">
        <v>16</v>
      </c>
      <c r="I46">
        <v>40000</v>
      </c>
      <c r="J46">
        <v>4</v>
      </c>
      <c r="K46" s="10" t="s">
        <v>36</v>
      </c>
      <c r="L46" t="str">
        <f>TEXT(B46, "mmm")</f>
        <v>Apr</v>
      </c>
    </row>
    <row r="47" spans="1:12" x14ac:dyDescent="0.3">
      <c r="A47">
        <v>1007</v>
      </c>
      <c r="B47" s="1">
        <v>45316</v>
      </c>
      <c r="C47" t="s">
        <v>14</v>
      </c>
      <c r="D47" t="s">
        <v>11</v>
      </c>
      <c r="E47">
        <v>6</v>
      </c>
      <c r="F47">
        <v>8000</v>
      </c>
      <c r="G47" t="s">
        <v>18</v>
      </c>
      <c r="H47" t="s">
        <v>19</v>
      </c>
      <c r="I47">
        <v>48000</v>
      </c>
      <c r="J47">
        <v>1</v>
      </c>
      <c r="K47" s="10" t="s">
        <v>36</v>
      </c>
      <c r="L47" t="str">
        <f>TEXT(B47, "mmm")</f>
        <v>Jan</v>
      </c>
    </row>
    <row r="48" spans="1:12" x14ac:dyDescent="0.3">
      <c r="A48">
        <v>1027</v>
      </c>
      <c r="B48" s="1">
        <v>45365</v>
      </c>
      <c r="C48" t="s">
        <v>14</v>
      </c>
      <c r="D48" t="s">
        <v>11</v>
      </c>
      <c r="E48">
        <v>6</v>
      </c>
      <c r="F48">
        <v>8000</v>
      </c>
      <c r="G48" t="s">
        <v>18</v>
      </c>
      <c r="H48" t="s">
        <v>19</v>
      </c>
      <c r="I48">
        <v>48000</v>
      </c>
      <c r="J48">
        <v>3</v>
      </c>
      <c r="K48" s="10" t="s">
        <v>36</v>
      </c>
      <c r="L48" t="str">
        <f>TEXT(B48, "mmm")</f>
        <v>Mar</v>
      </c>
    </row>
    <row r="49" spans="1:12" x14ac:dyDescent="0.3">
      <c r="A49">
        <v>1047</v>
      </c>
      <c r="B49" s="1">
        <v>45406</v>
      </c>
      <c r="C49" t="s">
        <v>14</v>
      </c>
      <c r="D49" t="s">
        <v>11</v>
      </c>
      <c r="E49">
        <v>6</v>
      </c>
      <c r="F49">
        <v>8000</v>
      </c>
      <c r="G49" t="s">
        <v>18</v>
      </c>
      <c r="H49" t="s">
        <v>19</v>
      </c>
      <c r="I49">
        <v>48000</v>
      </c>
      <c r="J49">
        <v>4</v>
      </c>
      <c r="K49" s="10" t="s">
        <v>36</v>
      </c>
      <c r="L49" t="str">
        <f>TEXT(B49, "mmm")</f>
        <v>Apr</v>
      </c>
    </row>
    <row r="50" spans="1:12" x14ac:dyDescent="0.3">
      <c r="A50">
        <v>1017</v>
      </c>
      <c r="B50" s="1">
        <v>45342</v>
      </c>
      <c r="C50" t="s">
        <v>14</v>
      </c>
      <c r="D50" t="s">
        <v>11</v>
      </c>
      <c r="E50">
        <v>7</v>
      </c>
      <c r="F50">
        <v>8000</v>
      </c>
      <c r="G50" t="s">
        <v>12</v>
      </c>
      <c r="H50" t="s">
        <v>13</v>
      </c>
      <c r="I50">
        <v>56000</v>
      </c>
      <c r="J50">
        <v>2</v>
      </c>
      <c r="K50" s="10" t="s">
        <v>36</v>
      </c>
      <c r="L50" t="str">
        <f>TEXT(B50, "mmm")</f>
        <v>Feb</v>
      </c>
    </row>
    <row r="51" spans="1:12" x14ac:dyDescent="0.3">
      <c r="A51">
        <v>1037</v>
      </c>
      <c r="B51" s="1">
        <v>45386</v>
      </c>
      <c r="C51" t="s">
        <v>14</v>
      </c>
      <c r="D51" t="s">
        <v>11</v>
      </c>
      <c r="E51">
        <v>7</v>
      </c>
      <c r="F51">
        <v>8000</v>
      </c>
      <c r="G51" t="s">
        <v>12</v>
      </c>
      <c r="H51" t="s">
        <v>13</v>
      </c>
      <c r="I51">
        <v>56000</v>
      </c>
      <c r="J51">
        <v>4</v>
      </c>
      <c r="K51" s="10" t="s">
        <v>36</v>
      </c>
      <c r="L51" t="str">
        <f>TEXT(B51, "mmm")</f>
        <v>Apr</v>
      </c>
    </row>
    <row r="52" spans="1:12" x14ac:dyDescent="0.3">
      <c r="B52" s="1"/>
      <c r="I52">
        <f>SUM(clean_sales[revenue])</f>
        <v>918500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4E24D-5944-4817-A554-5371CB55B8FB}">
  <dimension ref="A2:Q45"/>
  <sheetViews>
    <sheetView topLeftCell="A12" zoomScale="91" zoomScaleNormal="100" workbookViewId="0">
      <selection activeCell="A19" sqref="A19"/>
    </sheetView>
  </sheetViews>
  <sheetFormatPr defaultRowHeight="14.4" x14ac:dyDescent="0.3"/>
  <cols>
    <col min="1" max="1" width="14.44140625" bestFit="1" customWidth="1"/>
    <col min="2" max="2" width="14.77734375" bestFit="1" customWidth="1"/>
    <col min="3" max="3" width="10.77734375" bestFit="1" customWidth="1"/>
  </cols>
  <sheetData>
    <row r="2" spans="1:9" x14ac:dyDescent="0.3">
      <c r="I2" s="4"/>
    </row>
    <row r="3" spans="1:9" x14ac:dyDescent="0.3">
      <c r="A3" s="2" t="s">
        <v>32</v>
      </c>
      <c r="B3" t="s">
        <v>27</v>
      </c>
      <c r="C3" t="s">
        <v>37</v>
      </c>
    </row>
    <row r="4" spans="1:9" x14ac:dyDescent="0.3">
      <c r="A4" s="3" t="s">
        <v>18</v>
      </c>
      <c r="B4" s="4">
        <v>270000</v>
      </c>
      <c r="C4" s="9">
        <v>0.29395753946652148</v>
      </c>
    </row>
    <row r="5" spans="1:9" x14ac:dyDescent="0.3">
      <c r="A5" s="3" t="s">
        <v>12</v>
      </c>
      <c r="B5" s="4">
        <v>260500</v>
      </c>
      <c r="C5" s="9">
        <v>0.28361458900381054</v>
      </c>
    </row>
    <row r="6" spans="1:9" x14ac:dyDescent="0.3">
      <c r="A6" s="3" t="s">
        <v>15</v>
      </c>
      <c r="B6" s="4">
        <v>225000</v>
      </c>
      <c r="C6" s="9">
        <v>0.24496461622210125</v>
      </c>
    </row>
    <row r="7" spans="1:9" x14ac:dyDescent="0.3">
      <c r="A7" s="3" t="s">
        <v>22</v>
      </c>
      <c r="B7" s="4">
        <v>163000</v>
      </c>
      <c r="C7" s="9">
        <v>0.17746325530756668</v>
      </c>
    </row>
    <row r="8" spans="1:9" x14ac:dyDescent="0.3">
      <c r="A8" s="3" t="s">
        <v>26</v>
      </c>
      <c r="B8" s="4">
        <v>918500</v>
      </c>
      <c r="C8" s="9">
        <v>1</v>
      </c>
    </row>
    <row r="19" spans="1:3" x14ac:dyDescent="0.3">
      <c r="A19" s="2" t="s">
        <v>33</v>
      </c>
      <c r="B19" t="s">
        <v>27</v>
      </c>
      <c r="C19" t="s">
        <v>37</v>
      </c>
    </row>
    <row r="20" spans="1:3" x14ac:dyDescent="0.3">
      <c r="A20" s="3" t="s">
        <v>20</v>
      </c>
      <c r="B20" s="4">
        <v>73500</v>
      </c>
      <c r="C20" s="9">
        <v>8.0021774632553069E-2</v>
      </c>
    </row>
    <row r="21" spans="1:3" x14ac:dyDescent="0.3">
      <c r="A21" s="11" t="s">
        <v>21</v>
      </c>
      <c r="B21" s="4">
        <v>73500</v>
      </c>
      <c r="C21" s="9">
        <v>8.0021774632553069E-2</v>
      </c>
    </row>
    <row r="22" spans="1:3" x14ac:dyDescent="0.3">
      <c r="A22" s="3" t="s">
        <v>24</v>
      </c>
      <c r="B22" s="4">
        <v>75000</v>
      </c>
      <c r="C22" s="9">
        <v>8.1654872074033755E-2</v>
      </c>
    </row>
    <row r="23" spans="1:3" x14ac:dyDescent="0.3">
      <c r="A23" s="11" t="s">
        <v>21</v>
      </c>
      <c r="B23" s="4">
        <v>75000</v>
      </c>
      <c r="C23" s="9">
        <v>8.1654872074033755E-2</v>
      </c>
    </row>
    <row r="24" spans="1:3" x14ac:dyDescent="0.3">
      <c r="A24" s="3" t="s">
        <v>10</v>
      </c>
      <c r="B24" s="4">
        <v>180000</v>
      </c>
      <c r="C24" s="9">
        <v>0.19597169297768099</v>
      </c>
    </row>
    <row r="25" spans="1:3" x14ac:dyDescent="0.3">
      <c r="A25" s="11" t="s">
        <v>11</v>
      </c>
      <c r="B25" s="4">
        <v>180000</v>
      </c>
      <c r="C25" s="9">
        <v>0.19597169297768099</v>
      </c>
    </row>
    <row r="26" spans="1:3" x14ac:dyDescent="0.3">
      <c r="A26" s="3" t="s">
        <v>14</v>
      </c>
      <c r="B26" s="4">
        <v>440000</v>
      </c>
      <c r="C26" s="9">
        <v>0.47904191616766467</v>
      </c>
    </row>
    <row r="27" spans="1:3" x14ac:dyDescent="0.3">
      <c r="A27" s="11" t="s">
        <v>11</v>
      </c>
      <c r="B27" s="4">
        <v>440000</v>
      </c>
      <c r="C27" s="9">
        <v>0.47904191616766467</v>
      </c>
    </row>
    <row r="28" spans="1:3" x14ac:dyDescent="0.3">
      <c r="A28" s="3" t="s">
        <v>17</v>
      </c>
      <c r="B28" s="4">
        <v>150000</v>
      </c>
      <c r="C28" s="9">
        <v>0.16330974414806751</v>
      </c>
    </row>
    <row r="29" spans="1:3" x14ac:dyDescent="0.3">
      <c r="A29" s="11" t="s">
        <v>11</v>
      </c>
      <c r="B29" s="4">
        <v>150000</v>
      </c>
      <c r="C29" s="9">
        <v>0.16330974414806751</v>
      </c>
    </row>
    <row r="30" spans="1:3" x14ac:dyDescent="0.3">
      <c r="A30" s="3" t="s">
        <v>26</v>
      </c>
      <c r="B30" s="4">
        <v>918500</v>
      </c>
      <c r="C30" s="9">
        <v>1</v>
      </c>
    </row>
    <row r="31" spans="1:3" x14ac:dyDescent="0.3">
      <c r="A31" s="2" t="s">
        <v>34</v>
      </c>
      <c r="B31" t="s">
        <v>27</v>
      </c>
      <c r="C31" t="s">
        <v>37</v>
      </c>
    </row>
    <row r="32" spans="1:3" x14ac:dyDescent="0.3">
      <c r="A32" s="3" t="s">
        <v>28</v>
      </c>
      <c r="B32" s="4">
        <v>167500</v>
      </c>
      <c r="C32" s="9">
        <v>0.18236254763200871</v>
      </c>
    </row>
    <row r="33" spans="1:17" x14ac:dyDescent="0.3">
      <c r="A33" s="3" t="s">
        <v>29</v>
      </c>
      <c r="B33" s="4">
        <v>200500</v>
      </c>
      <c r="C33" s="9">
        <v>0.21829069134458357</v>
      </c>
    </row>
    <row r="34" spans="1:17" x14ac:dyDescent="0.3">
      <c r="A34" s="3" t="s">
        <v>30</v>
      </c>
      <c r="B34" s="4">
        <v>271500</v>
      </c>
      <c r="C34" s="9">
        <v>0.29559063690800219</v>
      </c>
    </row>
    <row r="35" spans="1:17" x14ac:dyDescent="0.3">
      <c r="A35" s="3" t="s">
        <v>31</v>
      </c>
      <c r="B35" s="4">
        <v>279000</v>
      </c>
      <c r="C35" s="9">
        <v>0.30375612411540553</v>
      </c>
    </row>
    <row r="36" spans="1:17" x14ac:dyDescent="0.3">
      <c r="A36" s="3" t="s">
        <v>26</v>
      </c>
      <c r="B36" s="4">
        <v>918500</v>
      </c>
      <c r="C36" s="9">
        <v>1</v>
      </c>
      <c r="Q36" s="7"/>
    </row>
    <row r="39" spans="1:17" x14ac:dyDescent="0.3">
      <c r="A39" s="5" t="s">
        <v>35</v>
      </c>
      <c r="B39" t="s">
        <v>27</v>
      </c>
      <c r="C39" t="s">
        <v>37</v>
      </c>
    </row>
    <row r="40" spans="1:17" x14ac:dyDescent="0.3">
      <c r="A40" s="6" t="s">
        <v>25</v>
      </c>
      <c r="B40" s="4">
        <v>21000</v>
      </c>
      <c r="C40" s="9">
        <v>2.2863364180729449E-2</v>
      </c>
    </row>
    <row r="41" spans="1:17" x14ac:dyDescent="0.3">
      <c r="A41" s="6" t="s">
        <v>23</v>
      </c>
      <c r="B41" s="4">
        <v>163000</v>
      </c>
      <c r="C41" s="9">
        <v>0.17746325530756668</v>
      </c>
    </row>
    <row r="42" spans="1:17" x14ac:dyDescent="0.3">
      <c r="A42" s="6" t="s">
        <v>16</v>
      </c>
      <c r="B42" s="4">
        <v>204000</v>
      </c>
      <c r="C42" s="9">
        <v>0.22210125204137179</v>
      </c>
    </row>
    <row r="43" spans="1:17" x14ac:dyDescent="0.3">
      <c r="A43" s="6" t="s">
        <v>13</v>
      </c>
      <c r="B43" s="4">
        <v>260500</v>
      </c>
      <c r="C43" s="9">
        <v>0.28361458900381054</v>
      </c>
    </row>
    <row r="44" spans="1:17" x14ac:dyDescent="0.3">
      <c r="A44" s="6" t="s">
        <v>19</v>
      </c>
      <c r="B44" s="4">
        <v>270000</v>
      </c>
      <c r="C44" s="9">
        <v>0.29395753946652148</v>
      </c>
    </row>
    <row r="45" spans="1:17" x14ac:dyDescent="0.3">
      <c r="A45" s="3" t="s">
        <v>26</v>
      </c>
      <c r="B45" s="10">
        <v>918500</v>
      </c>
      <c r="C45" s="9">
        <v>1</v>
      </c>
    </row>
  </sheetData>
  <conditionalFormatting pivot="1" sqref="C4:C7">
    <cfRule type="dataBar" priority="5">
      <dataBar>
        <cfvo type="min"/>
        <cfvo type="max"/>
        <color rgb="FF638EC6"/>
      </dataBar>
      <extLst>
        <ext xmlns:x14="http://schemas.microsoft.com/office/spreadsheetml/2009/9/main" uri="{B025F937-C7B1-47D3-B67F-A62EFF666E3E}">
          <x14:id>{B112FBB4-4992-4E22-9BC0-A727940452CA}</x14:id>
        </ext>
      </extLst>
    </cfRule>
  </conditionalFormatting>
  <conditionalFormatting pivot="1" sqref="C20:C30">
    <cfRule type="dataBar" priority="4">
      <dataBar>
        <cfvo type="min"/>
        <cfvo type="max"/>
        <color rgb="FF63C384"/>
      </dataBar>
      <extLst>
        <ext xmlns:x14="http://schemas.microsoft.com/office/spreadsheetml/2009/9/main" uri="{B025F937-C7B1-47D3-B67F-A62EFF666E3E}">
          <x14:id>{EE725511-E372-4656-A9FC-CC13FAC427F0}</x14:id>
        </ext>
      </extLst>
    </cfRule>
  </conditionalFormatting>
  <conditionalFormatting pivot="1" sqref="C32:C36">
    <cfRule type="dataBar" priority="3">
      <dataBar>
        <cfvo type="min"/>
        <cfvo type="max"/>
        <color rgb="FF008AEF"/>
      </dataBar>
      <extLst>
        <ext xmlns:x14="http://schemas.microsoft.com/office/spreadsheetml/2009/9/main" uri="{B025F937-C7B1-47D3-B67F-A62EFF666E3E}">
          <x14:id>{13523057-BB4B-40A2-9A90-F14573F3DF8F}</x14:id>
        </ext>
      </extLst>
    </cfRule>
  </conditionalFormatting>
  <conditionalFormatting pivot="1" sqref="C40:C45">
    <cfRule type="dataBar" priority="2">
      <dataBar>
        <cfvo type="min"/>
        <cfvo type="max"/>
        <color rgb="FF638EC6"/>
      </dataBar>
      <extLst>
        <ext xmlns:x14="http://schemas.microsoft.com/office/spreadsheetml/2009/9/main" uri="{B025F937-C7B1-47D3-B67F-A62EFF666E3E}">
          <x14:id>{6C9DEC25-7A67-4B10-B479-F375BC3DE614}</x14:id>
        </ext>
      </extLst>
    </cfRule>
  </conditionalFormatting>
  <conditionalFormatting pivot="1" sqref="C4:C8">
    <cfRule type="dataBar" priority="1">
      <dataBar>
        <cfvo type="min"/>
        <cfvo type="max"/>
        <color rgb="FF638EC6"/>
      </dataBar>
      <extLst>
        <ext xmlns:x14="http://schemas.microsoft.com/office/spreadsheetml/2009/9/main" uri="{B025F937-C7B1-47D3-B67F-A62EFF666E3E}">
          <x14:id>{B8BE9A21-5DCB-4285-B4A5-816CC4DEC870}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B112FBB4-4992-4E22-9BC0-A727940452CA}">
            <x14:dataBar minLength="0" maxLength="100" border="1" negativeBarBorderColorSameAsPositive="0">
              <x14:cfvo type="autoMin"/>
              <x14:cfvo type="autoMax"/>
              <x14:borderColor rgb="FF638EC6"/>
              <x14:negativeFillColor rgb="FFFF0000"/>
              <x14:negativeBorderColor rgb="FFFF0000"/>
              <x14:axisColor rgb="FF000000"/>
            </x14:dataBar>
          </x14:cfRule>
          <xm:sqref>C4:C7</xm:sqref>
        </x14:conditionalFormatting>
        <x14:conditionalFormatting xmlns:xm="http://schemas.microsoft.com/office/excel/2006/main" pivot="1">
          <x14:cfRule type="dataBar" id="{EE725511-E372-4656-A9FC-CC13FAC427F0}">
            <x14:dataBar minLength="0" maxLength="100" gradient="0">
              <x14:cfvo type="autoMin"/>
              <x14:cfvo type="autoMax"/>
              <x14:negativeFillColor rgb="FFFF0000"/>
              <x14:axisColor rgb="FF000000"/>
            </x14:dataBar>
          </x14:cfRule>
          <xm:sqref>C20:C30</xm:sqref>
        </x14:conditionalFormatting>
        <x14:conditionalFormatting xmlns:xm="http://schemas.microsoft.com/office/excel/2006/main" pivot="1">
          <x14:cfRule type="dataBar" id="{13523057-BB4B-40A2-9A90-F14573F3DF8F}">
            <x14:dataBar minLength="0" maxLength="100" gradient="0">
              <x14:cfvo type="autoMin"/>
              <x14:cfvo type="autoMax"/>
              <x14:negativeFillColor rgb="FFFF0000"/>
              <x14:axisColor rgb="FF000000"/>
            </x14:dataBar>
          </x14:cfRule>
          <xm:sqref>C32:C36</xm:sqref>
        </x14:conditionalFormatting>
        <x14:conditionalFormatting xmlns:xm="http://schemas.microsoft.com/office/excel/2006/main" pivot="1">
          <x14:cfRule type="dataBar" id="{6C9DEC25-7A67-4B10-B479-F375BC3DE614}">
            <x14:dataBar minLength="0" maxLength="100" gradient="0">
              <x14:cfvo type="autoMin"/>
              <x14:cfvo type="autoMax"/>
              <x14:negativeFillColor rgb="FFFF0000"/>
              <x14:axisColor rgb="FF000000"/>
            </x14:dataBar>
          </x14:cfRule>
          <xm:sqref>C40:C45</xm:sqref>
        </x14:conditionalFormatting>
        <x14:conditionalFormatting xmlns:xm="http://schemas.microsoft.com/office/excel/2006/main" pivot="1">
          <x14:cfRule type="dataBar" id="{B8BE9A21-5DCB-4285-B4A5-816CC4DEC870}">
            <x14:dataBar minLength="0" maxLength="100" border="1" negativeBarBorderColorSameAsPositive="0">
              <x14:cfvo type="autoMin"/>
              <x14:cfvo type="autoMax"/>
              <x14:borderColor rgb="FF638EC6"/>
              <x14:negativeFillColor rgb="FFFF0000"/>
              <x14:negativeBorderColor rgb="FFFF0000"/>
              <x14:axisColor rgb="FF000000"/>
            </x14:dataBar>
          </x14:cfRule>
          <xm:sqref>C4:C8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0024F-4A61-46B7-8D07-034354A110D3}">
  <dimension ref="A1"/>
  <sheetViews>
    <sheetView showGridLines="0" tabSelected="1" topLeftCell="J7" zoomScale="50" zoomScaleNormal="50" workbookViewId="0">
      <selection activeCell="AW45" sqref="AW45"/>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9CCFD7-06F5-4AF4-A96F-D2D31D551E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clean_sales</vt:lpstr>
      <vt:lpstr>Pivot Chart</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Jabulane Poulo</dc:creator>
  <cp:lastModifiedBy>Jabulane Poulo</cp:lastModifiedBy>
  <dcterms:created xsi:type="dcterms:W3CDTF">2026-04-15T12:32:28Z</dcterms:created>
  <dcterms:modified xsi:type="dcterms:W3CDTF">2026-04-21T11:04:19Z</dcterms:modified>
</cp:coreProperties>
</file>