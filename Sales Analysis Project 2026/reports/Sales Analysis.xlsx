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FCE9E0C0-DF19-4C58-B847-3782E86CCAC5}"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'clean_sales'!$A$1:$J$51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5"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6"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7"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8"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9"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0"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1"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2"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3"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4"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<sst xmlns="http://schemas.openxmlformats.org/spreadsheetml/2006/main" count="460" uniqueCount="38">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</sst>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2">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8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12892419229999"/>
          <c:y val="0.20432484072519952"/>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3"/>
            <c:invertIfNegative val="0"/>
            <c:bubble3D val="0"/>
            <c:spPr>
              <a:solidFill>
                <a:schemeClr val="tx2">
                  <a:lumMod val="75000"/>
                  <a:lumOff val="25000"/>
                </a:schemeClr>
              </a:solidFill>
              <a:ln>
                <a:noFill/>
              </a:ln>
              <a:effectLst/>
            </c:spPr>
          </c:dPt>
          <c:dPt>
            <c:idx val="4"/>
            <c:invertIfNegative val="0"/>
            <c:bubble3D val="0"/>
            <c:extLst>
              <c:ext xmlns:c16="http://schemas.microsoft.com/office/drawing/2014/chart" uri="{C3380CC4-5D6E-409C-BE32-E72D297353CC}">
                <c16:uniqueId val="{00000000-45D0-444E-956A-F15DB3F42CBB}"/>
              </c:ext>
            </c:extLst>
          </c:dPt>
          <c:dLbls>
            <c:dLbl>
              <c:idx val="3"/>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Chart'!$A$40:$A$44</c:f>
              <c:strCache>
                <c:ptCount val="4"/>
                <c:pt idx="0">
                  <c:v>Sarah</c:v>
                </c:pt>
                <c:pt idx="1">
                  <c:v>Mary</c:v>
                </c:pt>
                <c:pt idx="2">
                  <c:v>John</c:v>
                </c:pt>
                <c:pt idx="3">
                  <c:v>David</c:v>
                </c:pt>
              </c:strCache>
            </c:strRef>
          </c:cat>
          <c:val>
            <c:numRef>
              <c:f>'Pivot Chart'!$B$40:$B$44</c:f>
              <c:numCache>
                <c:formatCode>"R"#\ ##0</c:formatCode>
                <c:ptCount val="4"/>
                <c:pt idx="0">
                  <c:v>163000</c:v>
                </c:pt>
                <c:pt idx="1">
                  <c:v>204000</c:v>
                </c:pt>
                <c:pt idx="2">
                  <c:v>260500</c:v>
                </c:pt>
                <c:pt idx="3">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Chart'!$A$40:$A$44</c:f>
              <c:strCache>
                <c:ptCount val="4"/>
                <c:pt idx="0">
                  <c:v>Sarah</c:v>
                </c:pt>
                <c:pt idx="1">
                  <c:v>Mary</c:v>
                </c:pt>
                <c:pt idx="2">
                  <c:v>John</c:v>
                </c:pt>
                <c:pt idx="3">
                  <c:v>David</c:v>
                </c:pt>
              </c:strCache>
            </c:strRef>
          </c:cat>
          <c:val>
            <c:numRef>
              <c:f>'Pivot Chart'!$C$40:$C$44</c:f>
              <c:numCache>
                <c:formatCode>0.00%</c:formatCode>
                <c:ptCount val="4"/>
                <c:pt idx="0">
                  <c:v>0.18161559888579387</c:v>
                </c:pt>
                <c:pt idx="1">
                  <c:v>0.22729805013927576</c:v>
                </c:pt>
                <c:pt idx="2">
                  <c:v>0.29025069637883011</c:v>
                </c:pt>
                <c:pt idx="3">
                  <c:v>0.30083565459610029</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800">
                <a:solidFill>
                  <a:schemeClr val="tx1"/>
                </a:solidFill>
              </a:rPr>
              <a:t>Product</a:t>
            </a:r>
            <a:r>
              <a:rPr lang="en-ZA" sz="1800" baseline="0">
                <a:solidFill>
                  <a:schemeClr val="tx1"/>
                </a:solidFill>
              </a:rPr>
              <a:t> Performance</a:t>
            </a:r>
            <a:endParaRPr lang="en-ZA" sz="1800">
              <a:solidFill>
                <a:schemeClr val="tx1"/>
              </a:solidFill>
            </a:endParaRPr>
          </a:p>
        </c:rich>
      </c:tx>
      <c:layout>
        <c:manualLayout>
          <c:xMode val="edge"/>
          <c:yMode val="edge"/>
          <c:x val="0.34053253259203425"/>
          <c:y val="1.5537054498665435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167273841382904"/>
          <c:y val="0.15903459839007975"/>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6949988870395758"/>
          <c:y val="0.12772192831973789"/>
          <c:w val="0.13904037516884116"/>
          <c:h val="0.492128555056990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800" b="1">
                <a:solidFill>
                  <a:schemeClr val="tx1"/>
                </a:solidFill>
              </a:rPr>
              <a:t>Sales</a:t>
            </a:r>
            <a:r>
              <a:rPr lang="en-ZA" sz="1800" b="1" baseline="0">
                <a:solidFill>
                  <a:schemeClr val="tx1"/>
                </a:solidFill>
              </a:rPr>
              <a:t> by Region</a:t>
            </a:r>
            <a:endParaRPr lang="en-ZA" sz="18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11</xdr:col>
      <xdr:colOff>0</xdr:colOff>
      <xdr:row>7</xdr:row>
      <xdr:rowOff>72761</xdr:rowOff>
    </xdr:from>
    <xdr:to>
      <xdr:col>42</xdr:col>
      <xdr:colOff>2</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770077" y="1303684"/>
          <a:ext cx="19079310"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a:t>
          </a:r>
          <a:r>
            <a:rPr lang="en-ZA" sz="3200" b="1" baseline="0">
              <a:solidFill>
                <a:schemeClr val="bg1"/>
              </a:solidFill>
            </a:rPr>
            <a:t> DASHBOARD</a:t>
          </a:r>
          <a:endParaRPr lang="en-ZA" sz="3200" b="1">
            <a:solidFill>
              <a:schemeClr val="bg1"/>
            </a:solidFill>
          </a:endParaRPr>
        </a:p>
      </xdr:txBody>
    </xdr:sp>
    <xdr:clientData/>
  </xdr:oneCellAnchor>
  <xdr:twoCellAnchor>
    <xdr:from>
      <xdr:col>11</xdr:col>
      <xdr:colOff>62852</xdr:colOff>
      <xdr:row>25</xdr:row>
      <xdr:rowOff>144686</xdr:rowOff>
    </xdr:from>
    <xdr:to>
      <xdr:col>21</xdr:col>
      <xdr:colOff>602332</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832929" y="4540840"/>
          <a:ext cx="6694095"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352792</xdr:colOff>
      <xdr:row>26</xdr:row>
      <xdr:rowOff>117232</xdr:rowOff>
    </xdr:from>
    <xdr:to>
      <xdr:col>20</xdr:col>
      <xdr:colOff>502229</xdr:colOff>
      <xdr:row>45</xdr:row>
      <xdr:rowOff>31535</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33545</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803622" y="8616462"/>
          <a:ext cx="6631243"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11</xdr:col>
      <xdr:colOff>63605</xdr:colOff>
      <xdr:row>50</xdr:row>
      <xdr:rowOff>102576</xdr:rowOff>
    </xdr:from>
    <xdr:to>
      <xdr:col>21</xdr:col>
      <xdr:colOff>234462</xdr:colOff>
      <xdr:row>69</xdr:row>
      <xdr:rowOff>31102</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0</xdr:rowOff>
    </xdr:from>
    <xdr:to>
      <xdr:col>42</xdr:col>
      <xdr:colOff>2</xdr:colOff>
      <xdr:row>71</xdr:row>
      <xdr:rowOff>29308</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654509" y="8616462"/>
          <a:ext cx="7194878" cy="38979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0</xdr:colOff>
      <xdr:row>50</xdr:row>
      <xdr:rowOff>0</xdr:rowOff>
    </xdr:from>
    <xdr:to>
      <xdr:col>40</xdr:col>
      <xdr:colOff>439615</xdr:colOff>
      <xdr:row>70</xdr:row>
      <xdr:rowOff>43961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0</xdr:colOff>
      <xdr:row>18</xdr:row>
      <xdr:rowOff>0</xdr:rowOff>
    </xdr:from>
    <xdr:to>
      <xdr:col>16</xdr:col>
      <xdr:colOff>280894</xdr:colOff>
      <xdr:row>24</xdr:row>
      <xdr:rowOff>16298</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770077" y="3165231"/>
          <a:ext cx="3358202" cy="107137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480808</xdr:colOff>
      <xdr:row>18</xdr:row>
      <xdr:rowOff>58616</xdr:rowOff>
    </xdr:from>
    <xdr:to>
      <xdr:col>16</xdr:col>
      <xdr:colOff>102577</xdr:colOff>
      <xdr:row>23</xdr:row>
      <xdr:rowOff>18835</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097270" y="3223847"/>
          <a:ext cx="852692" cy="839450"/>
        </a:xfrm>
        <a:prstGeom prst="rect">
          <a:avLst/>
        </a:prstGeom>
      </xdr:spPr>
    </xdr:pic>
    <xdr:clientData/>
  </xdr:twoCellAnchor>
  <xdr:oneCellAnchor>
    <xdr:from>
      <xdr:col>11</xdr:col>
      <xdr:colOff>194738</xdr:colOff>
      <xdr:row>18</xdr:row>
      <xdr:rowOff>55113</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964815" y="3220344"/>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12</xdr:row>
      <xdr:rowOff>14653</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617893"/>
        </a:xfrm>
        <a:prstGeom prst="rect">
          <a:avLst/>
        </a:prstGeom>
      </xdr:spPr>
    </xdr:pic>
    <xdr:clientData/>
  </xdr:twoCellAnchor>
  <xdr:twoCellAnchor editAs="oneCell">
    <xdr:from>
      <xdr:col>36</xdr:col>
      <xdr:colOff>395654</xdr:colOff>
      <xdr:row>8</xdr:row>
      <xdr:rowOff>41530</xdr:rowOff>
    </xdr:from>
    <xdr:to>
      <xdr:col>40</xdr:col>
      <xdr:colOff>213691</xdr:colOff>
      <xdr:row>13</xdr:row>
      <xdr:rowOff>121169</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552269" y="1448299"/>
          <a:ext cx="2279884" cy="958870"/>
        </a:xfrm>
        <a:prstGeom prst="rect">
          <a:avLst/>
        </a:prstGeom>
      </xdr:spPr>
    </xdr:pic>
    <xdr:clientData/>
  </xdr:twoCellAnchor>
  <xdr:oneCellAnchor>
    <xdr:from>
      <xdr:col>11</xdr:col>
      <xdr:colOff>194738</xdr:colOff>
      <xdr:row>20</xdr:row>
      <xdr:rowOff>95570</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964815" y="3612493"/>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000" b="1" i="0" u="none" strike="noStrike">
              <a:solidFill>
                <a:schemeClr val="tx1"/>
              </a:solidFill>
              <a:effectLst/>
              <a:latin typeface="+mn-lt"/>
              <a:ea typeface="+mn-ea"/>
              <a:cs typeface="+mn-cs"/>
            </a:rPr>
            <a:t>R918 500</a:t>
          </a:r>
          <a:r>
            <a:rPr lang="en-ZA" sz="2000">
              <a:effectLst/>
            </a:rPr>
            <a:t> </a:t>
          </a:r>
          <a:endParaRPr lang="en-ZA" sz="2000" b="1">
            <a:solidFill>
              <a:schemeClr val="tx1"/>
            </a:solidFill>
          </a:endParaRPr>
        </a:p>
      </xdr:txBody>
    </xdr:sp>
    <xdr:clientData/>
  </xdr:oneCellAnchor>
  <xdr:twoCellAnchor>
    <xdr:from>
      <xdr:col>17</xdr:col>
      <xdr:colOff>146539</xdr:colOff>
      <xdr:row>18</xdr:row>
      <xdr:rowOff>0</xdr:rowOff>
    </xdr:from>
    <xdr:to>
      <xdr:col>23</xdr:col>
      <xdr:colOff>0</xdr:colOff>
      <xdr:row>24</xdr:row>
      <xdr:rowOff>31749</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609385" y="3165231"/>
          <a:ext cx="3546230" cy="1086826"/>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314653</xdr:colOff>
      <xdr:row>18</xdr:row>
      <xdr:rowOff>52236</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777499" y="3217467"/>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207541</xdr:colOff>
      <xdr:row>18</xdr:row>
      <xdr:rowOff>24037</xdr:rowOff>
    </xdr:from>
    <xdr:to>
      <xdr:col>22</xdr:col>
      <xdr:colOff>518691</xdr:colOff>
      <xdr:row>22</xdr:row>
      <xdr:rowOff>174482</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132233" y="3189268"/>
          <a:ext cx="926612" cy="853829"/>
        </a:xfrm>
        <a:prstGeom prst="rect">
          <a:avLst/>
        </a:prstGeom>
      </xdr:spPr>
    </xdr:pic>
    <xdr:clientData/>
  </xdr:twoCellAnchor>
  <xdr:oneCellAnchor>
    <xdr:from>
      <xdr:col>17</xdr:col>
      <xdr:colOff>306630</xdr:colOff>
      <xdr:row>20</xdr:row>
      <xdr:rowOff>69134</xdr:rowOff>
    </xdr:from>
    <xdr:ext cx="1979370" cy="405432"/>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769476" y="3586057"/>
          <a:ext cx="197937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i="0" u="none" strike="noStrike">
              <a:solidFill>
                <a:schemeClr val="tx1"/>
              </a:solidFill>
              <a:effectLst/>
              <a:latin typeface="+mn-lt"/>
              <a:ea typeface="+mn-ea"/>
              <a:cs typeface="+mn-cs"/>
            </a:rPr>
            <a:t>David   </a:t>
          </a:r>
          <a:r>
            <a:rPr lang="en-ZA" sz="2000" b="0" i="0" u="none" strike="noStrike">
              <a:solidFill>
                <a:schemeClr val="accent6">
                  <a:lumMod val="75000"/>
                </a:schemeClr>
              </a:solidFill>
              <a:effectLst/>
              <a:latin typeface="+mn-lt"/>
              <a:ea typeface="+mn-ea"/>
              <a:cs typeface="+mn-cs"/>
            </a:rPr>
            <a:t>29.40%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23</xdr:col>
      <xdr:colOff>424961</xdr:colOff>
      <xdr:row>17</xdr:row>
      <xdr:rowOff>174481</xdr:rowOff>
    </xdr:from>
    <xdr:to>
      <xdr:col>29</xdr:col>
      <xdr:colOff>220132</xdr:colOff>
      <xdr:row>24</xdr:row>
      <xdr:rowOff>11206</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580576" y="3163866"/>
          <a:ext cx="3487941"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512885</xdr:colOff>
      <xdr:row>20</xdr:row>
      <xdr:rowOff>101765</xdr:rowOff>
    </xdr:from>
    <xdr:ext cx="1670538" cy="405432"/>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18688"/>
          <a:ext cx="167053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East     </a:t>
          </a:r>
          <a:r>
            <a:rPr lang="en-ZA" sz="2000" b="0" i="0" u="none" strike="noStrike">
              <a:solidFill>
                <a:schemeClr val="accent6">
                  <a:lumMod val="75000"/>
                </a:schemeClr>
              </a:solidFill>
              <a:effectLst/>
              <a:latin typeface="+mn-lt"/>
              <a:ea typeface="+mn-ea"/>
              <a:cs typeface="+mn-cs"/>
            </a:rPr>
            <a:t>29.40%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30</xdr:col>
      <xdr:colOff>161192</xdr:colOff>
      <xdr:row>18</xdr:row>
      <xdr:rowOff>4956</xdr:rowOff>
    </xdr:from>
    <xdr:to>
      <xdr:col>35</xdr:col>
      <xdr:colOff>395653</xdr:colOff>
      <xdr:row>24</xdr:row>
      <xdr:rowOff>17527</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625038" y="3170187"/>
          <a:ext cx="3311769"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190663</xdr:colOff>
      <xdr:row>20</xdr:row>
      <xdr:rowOff>47418</xdr:rowOff>
    </xdr:from>
    <xdr:ext cx="1970837" cy="405432"/>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54509" y="3564341"/>
          <a:ext cx="197083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Phone    </a:t>
          </a:r>
          <a:r>
            <a:rPr lang="en-ZA" sz="2000" b="0" i="0" u="none" strike="noStrike">
              <a:solidFill>
                <a:schemeClr val="accent6">
                  <a:lumMod val="75000"/>
                </a:schemeClr>
              </a:solidFill>
              <a:effectLst/>
              <a:latin typeface="+mn-lt"/>
              <a:ea typeface="+mn-ea"/>
              <a:cs typeface="+mn-cs"/>
            </a:rPr>
            <a:t>47.90%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36</xdr:col>
      <xdr:colOff>249116</xdr:colOff>
      <xdr:row>17</xdr:row>
      <xdr:rowOff>153854</xdr:rowOff>
    </xdr:from>
    <xdr:to>
      <xdr:col>42</xdr:col>
      <xdr:colOff>0</xdr:colOff>
      <xdr:row>23</xdr:row>
      <xdr:rowOff>160769</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405731" y="3143239"/>
          <a:ext cx="3443654" cy="10619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337039</xdr:colOff>
      <xdr:row>18</xdr:row>
      <xdr:rowOff>35629</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493654" y="320086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351693</xdr:colOff>
      <xdr:row>20</xdr:row>
      <xdr:rowOff>43395</xdr:rowOff>
    </xdr:from>
    <xdr:ext cx="2118947" cy="405432"/>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08308" y="3560318"/>
          <a:ext cx="211894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April    </a:t>
          </a:r>
          <a:r>
            <a:rPr lang="en-ZA" sz="2000" b="0" i="0" u="none" strike="noStrike">
              <a:solidFill>
                <a:schemeClr val="accent6">
                  <a:lumMod val="75000"/>
                </a:schemeClr>
              </a:solidFill>
              <a:effectLst/>
              <a:latin typeface="+mn-lt"/>
              <a:ea typeface="+mn-ea"/>
              <a:cs typeface="+mn-cs"/>
            </a:rPr>
            <a:t>30.38%</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58615</xdr:rowOff>
    </xdr:from>
    <xdr:to>
      <xdr:col>29</xdr:col>
      <xdr:colOff>220133</xdr:colOff>
      <xdr:row>72</xdr:row>
      <xdr:rowOff>0</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454769"/>
          <a:ext cx="4068289" cy="82061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281583</xdr:colOff>
      <xdr:row>27</xdr:row>
      <xdr:rowOff>14654</xdr:rowOff>
    </xdr:from>
    <xdr:to>
      <xdr:col>28</xdr:col>
      <xdr:colOff>480275</xdr:colOff>
      <xdr:row>36</xdr:row>
      <xdr:rowOff>0</xdr:rowOff>
    </xdr:to>
    <mc:AlternateContent xmlns:mc="http://schemas.openxmlformats.org/markup-compatibility/2006">
      <mc:Choice xmlns:a14="http://schemas.microsoft.com/office/drawing/2010/main"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14437198" y="4762500"/>
              <a:ext cx="3276000" cy="156796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310891</xdr:colOff>
      <xdr:row>37</xdr:row>
      <xdr:rowOff>40534</xdr:rowOff>
    </xdr:from>
    <xdr:to>
      <xdr:col>28</xdr:col>
      <xdr:colOff>473583</xdr:colOff>
      <xdr:row>45</xdr:row>
      <xdr:rowOff>161192</xdr:rowOff>
    </xdr:to>
    <mc:AlternateContent xmlns:mc="http://schemas.openxmlformats.org/markup-compatibility/2006">
      <mc:Choice xmlns:a14="http://schemas.microsoft.com/office/drawing/2010/main"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dr:sp macro="" textlink="">
          <xdr:nvSpPr>
            <xdr:cNvPr id="0" name=""/>
            <xdr:cNvSpPr>
              <a:spLocks noTextEdit="1"/>
            </xdr:cNvSpPr>
          </xdr:nvSpPr>
          <xdr:spPr>
            <a:xfrm>
              <a:off x="14466506" y="6546842"/>
              <a:ext cx="3240000" cy="152742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281583</xdr:colOff>
      <xdr:row>47</xdr:row>
      <xdr:rowOff>16576</xdr:rowOff>
    </xdr:from>
    <xdr:to>
      <xdr:col>28</xdr:col>
      <xdr:colOff>444275</xdr:colOff>
      <xdr:row>58</xdr:row>
      <xdr:rowOff>161192</xdr:rowOff>
    </xdr:to>
    <mc:AlternateContent xmlns:mc="http://schemas.openxmlformats.org/markup-compatibility/2006">
      <mc:Choice xmlns:a14="http://schemas.microsoft.com/office/drawing/2010/main"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4437198" y="8281345"/>
              <a:ext cx="3240000" cy="2078924"/>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266931</xdr:colOff>
      <xdr:row>59</xdr:row>
      <xdr:rowOff>147693</xdr:rowOff>
    </xdr:from>
    <xdr:to>
      <xdr:col>28</xdr:col>
      <xdr:colOff>429623</xdr:colOff>
      <xdr:row>67</xdr:row>
      <xdr:rowOff>161193</xdr:rowOff>
    </xdr:to>
    <mc:AlternateContent xmlns:mc="http://schemas.openxmlformats.org/markup-compatibility/2006">
      <mc:Choice xmlns:a14="http://schemas.microsoft.com/office/drawing/2010/main"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dr:sp macro="" textlink="">
          <xdr:nvSpPr>
            <xdr:cNvPr id="0" name=""/>
            <xdr:cNvSpPr>
              <a:spLocks noTextEdit="1"/>
            </xdr:cNvSpPr>
          </xdr:nvSpPr>
          <xdr:spPr>
            <a:xfrm>
              <a:off x="14422546" y="10522616"/>
              <a:ext cx="3240000" cy="142026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2.431815046293" createdVersion="8" refreshedVersion="8" minRefreshableVersion="3" recordCount="50" xr:uid="{5CD08E8D-0579-4F82-8833-4918A091DA09}">
  <cacheSource type="worksheet">
    <worksheetSource name="clean_sales"/>
  </cacheSource>
  <cacheFields count="13">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fieldGroup par="12"/>
    </cacheField>
    <cacheField name="product" numFmtId="0">
      <sharedItems count="5">
        <s v="Laptop"/>
        <s v="Phone"/>
        <s v="Tablet"/>
        <s v="Chair"/>
        <s v="Desk"/>
      </sharedItems>
    </cacheField>
    <cacheField name="category" numFmtId="0">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s v="Electronics"/>
    <n v="2"/>
    <n v="12000"/>
    <x v="0"/>
    <x v="0"/>
    <n v="24000"/>
    <n v="1"/>
    <s v="Jan"/>
  </r>
  <r>
    <n v="1002"/>
    <x v="1"/>
    <x v="1"/>
    <s v="Electronics"/>
    <n v="5"/>
    <n v="8000"/>
    <x v="1"/>
    <x v="1"/>
    <n v="40000"/>
    <n v="1"/>
    <s v="Jan"/>
  </r>
  <r>
    <n v="1003"/>
    <x v="2"/>
    <x v="2"/>
    <s v="Electronics"/>
    <n v="3"/>
    <n v="6000"/>
    <x v="2"/>
    <x v="2"/>
    <n v="18000"/>
    <n v="1"/>
    <s v="Jan"/>
  </r>
  <r>
    <n v="1004"/>
    <x v="3"/>
    <x v="3"/>
    <s v="Furniture"/>
    <n v="5"/>
    <n v="1500"/>
    <x v="3"/>
    <x v="3"/>
    <n v="7500"/>
    <n v="1"/>
    <s v="Jan"/>
  </r>
  <r>
    <n v="1005"/>
    <x v="4"/>
    <x v="4"/>
    <s v="Furniture"/>
    <n v="2"/>
    <n v="3000"/>
    <x v="0"/>
    <x v="0"/>
    <n v="6000"/>
    <n v="1"/>
    <s v="Jan"/>
  </r>
  <r>
    <n v="1006"/>
    <x v="5"/>
    <x v="0"/>
    <s v="Electronics"/>
    <n v="1"/>
    <n v="12000"/>
    <x v="1"/>
    <x v="1"/>
    <n v="12000"/>
    <n v="1"/>
    <s v="Jan"/>
  </r>
  <r>
    <n v="1007"/>
    <x v="6"/>
    <x v="1"/>
    <s v="Electronics"/>
    <n v="6"/>
    <n v="8000"/>
    <x v="2"/>
    <x v="2"/>
    <n v="48000"/>
    <n v="1"/>
    <s v="Jan"/>
  </r>
  <r>
    <n v="1008"/>
    <x v="7"/>
    <x v="2"/>
    <s v="Electronics"/>
    <n v="2"/>
    <n v="6000"/>
    <x v="3"/>
    <x v="3"/>
    <n v="12000"/>
    <n v="1"/>
    <s v="Jan"/>
  </r>
  <r>
    <n v="1009"/>
    <x v="8"/>
    <x v="3"/>
    <s v="Furniture"/>
    <n v="5"/>
    <n v="1500"/>
    <x v="0"/>
    <x v="0"/>
    <n v="7500"/>
    <n v="2"/>
    <s v="Feb"/>
  </r>
  <r>
    <n v="1010"/>
    <x v="9"/>
    <x v="4"/>
    <s v="Furniture"/>
    <n v="3"/>
    <n v="3000"/>
    <x v="1"/>
    <x v="4"/>
    <n v="9000"/>
    <n v="2"/>
    <s v="Feb"/>
  </r>
  <r>
    <n v="1011"/>
    <x v="10"/>
    <x v="0"/>
    <s v="Electronics"/>
    <n v="2"/>
    <n v="12000"/>
    <x v="2"/>
    <x v="2"/>
    <n v="24000"/>
    <n v="2"/>
    <s v="Feb"/>
  </r>
  <r>
    <n v="1012"/>
    <x v="11"/>
    <x v="1"/>
    <s v="Electronics"/>
    <n v="4"/>
    <n v="8000"/>
    <x v="3"/>
    <x v="3"/>
    <n v="32000"/>
    <n v="2"/>
    <s v="Feb"/>
  </r>
  <r>
    <n v="1013"/>
    <x v="12"/>
    <x v="2"/>
    <s v="Electronics"/>
    <n v="3"/>
    <n v="6000"/>
    <x v="0"/>
    <x v="0"/>
    <n v="18000"/>
    <n v="2"/>
    <s v="Feb"/>
  </r>
  <r>
    <n v="1014"/>
    <x v="13"/>
    <x v="3"/>
    <s v="Furniture"/>
    <n v="6"/>
    <n v="1500"/>
    <x v="1"/>
    <x v="1"/>
    <n v="9000"/>
    <n v="2"/>
    <s v="Feb"/>
  </r>
  <r>
    <n v="1015"/>
    <x v="14"/>
    <x v="4"/>
    <s v="Furniture"/>
    <n v="2"/>
    <n v="3000"/>
    <x v="2"/>
    <x v="2"/>
    <n v="6000"/>
    <n v="2"/>
    <s v="Feb"/>
  </r>
  <r>
    <n v="1016"/>
    <x v="15"/>
    <x v="0"/>
    <s v="Electronics"/>
    <n v="1"/>
    <n v="12000"/>
    <x v="3"/>
    <x v="3"/>
    <n v="12000"/>
    <n v="2"/>
    <s v="Feb"/>
  </r>
  <r>
    <n v="1017"/>
    <x v="16"/>
    <x v="1"/>
    <s v="Electronics"/>
    <n v="7"/>
    <n v="8000"/>
    <x v="0"/>
    <x v="0"/>
    <n v="56000"/>
    <n v="2"/>
    <s v="Feb"/>
  </r>
  <r>
    <n v="1018"/>
    <x v="17"/>
    <x v="2"/>
    <s v="Electronics"/>
    <n v="2"/>
    <n v="6000"/>
    <x v="1"/>
    <x v="1"/>
    <n v="12000"/>
    <n v="2"/>
    <s v="Feb"/>
  </r>
  <r>
    <n v="1019"/>
    <x v="18"/>
    <x v="3"/>
    <s v="Furniture"/>
    <n v="4"/>
    <n v="1500"/>
    <x v="2"/>
    <x v="2"/>
    <n v="6000"/>
    <n v="2"/>
    <s v="Feb"/>
  </r>
  <r>
    <n v="1020"/>
    <x v="19"/>
    <x v="4"/>
    <s v="Furniture"/>
    <n v="3"/>
    <n v="3000"/>
    <x v="3"/>
    <x v="3"/>
    <n v="9000"/>
    <n v="2"/>
    <s v="Feb"/>
  </r>
  <r>
    <n v="1021"/>
    <x v="20"/>
    <x v="0"/>
    <s v="Electronics"/>
    <n v="2"/>
    <n v="12000"/>
    <x v="0"/>
    <x v="0"/>
    <n v="24000"/>
    <n v="3"/>
    <s v="Mar"/>
  </r>
  <r>
    <n v="1022"/>
    <x v="21"/>
    <x v="1"/>
    <s v="Electronics"/>
    <n v="5"/>
    <n v="8000"/>
    <x v="1"/>
    <x v="1"/>
    <n v="40000"/>
    <n v="3"/>
    <s v="Mar"/>
  </r>
  <r>
    <n v="1023"/>
    <x v="22"/>
    <x v="2"/>
    <s v="Electronics"/>
    <n v="3"/>
    <n v="6000"/>
    <x v="2"/>
    <x v="2"/>
    <n v="18000"/>
    <n v="3"/>
    <s v="Mar"/>
  </r>
  <r>
    <n v="1024"/>
    <x v="23"/>
    <x v="3"/>
    <s v="Furniture"/>
    <n v="4"/>
    <n v="1500"/>
    <x v="3"/>
    <x v="3"/>
    <n v="6000"/>
    <n v="3"/>
    <s v="Mar"/>
  </r>
  <r>
    <n v="1025"/>
    <x v="24"/>
    <x v="4"/>
    <s v="Furniture"/>
    <n v="2"/>
    <n v="3000"/>
    <x v="0"/>
    <x v="0"/>
    <n v="6000"/>
    <n v="3"/>
    <s v="Mar"/>
  </r>
  <r>
    <n v="1026"/>
    <x v="25"/>
    <x v="0"/>
    <s v="Electronics"/>
    <n v="1"/>
    <n v="12000"/>
    <x v="1"/>
    <x v="1"/>
    <n v="12000"/>
    <n v="3"/>
    <s v="Mar"/>
  </r>
  <r>
    <n v="1027"/>
    <x v="26"/>
    <x v="1"/>
    <s v="Electronics"/>
    <n v="6"/>
    <n v="8000"/>
    <x v="2"/>
    <x v="2"/>
    <n v="48000"/>
    <n v="3"/>
    <s v="Mar"/>
  </r>
  <r>
    <n v="1028"/>
    <x v="27"/>
    <x v="2"/>
    <s v="Electronics"/>
    <n v="2"/>
    <n v="6000"/>
    <x v="3"/>
    <x v="3"/>
    <n v="12000"/>
    <n v="3"/>
    <s v="Mar"/>
  </r>
  <r>
    <n v="1029"/>
    <x v="28"/>
    <x v="3"/>
    <s v="Furniture"/>
    <n v="5"/>
    <n v="1500"/>
    <x v="0"/>
    <x v="0"/>
    <n v="7500"/>
    <n v="3"/>
    <s v="Mar"/>
  </r>
  <r>
    <n v="1030"/>
    <x v="29"/>
    <x v="4"/>
    <s v="Furniture"/>
    <n v="3"/>
    <n v="3000"/>
    <x v="1"/>
    <x v="1"/>
    <n v="9000"/>
    <n v="3"/>
    <s v="Mar"/>
  </r>
  <r>
    <n v="1031"/>
    <x v="30"/>
    <x v="0"/>
    <s v="Electronics"/>
    <n v="2"/>
    <n v="12000"/>
    <x v="2"/>
    <x v="2"/>
    <n v="24000"/>
    <n v="3"/>
    <s v="Mar"/>
  </r>
  <r>
    <n v="1032"/>
    <x v="31"/>
    <x v="1"/>
    <s v="Electronics"/>
    <n v="4"/>
    <n v="8000"/>
    <x v="3"/>
    <x v="3"/>
    <n v="32000"/>
    <n v="3"/>
    <s v="Mar"/>
  </r>
  <r>
    <n v="1033"/>
    <x v="32"/>
    <x v="2"/>
    <s v="Electronics"/>
    <n v="3"/>
    <n v="6000"/>
    <x v="0"/>
    <x v="0"/>
    <n v="18000"/>
    <n v="3"/>
    <s v="Mar"/>
  </r>
  <r>
    <n v="1034"/>
    <x v="33"/>
    <x v="3"/>
    <s v="Furniture"/>
    <n v="6"/>
    <n v="1500"/>
    <x v="1"/>
    <x v="1"/>
    <n v="9000"/>
    <n v="3"/>
    <s v="Mar"/>
  </r>
  <r>
    <n v="1035"/>
    <x v="34"/>
    <x v="4"/>
    <s v="Furniture"/>
    <n v="2"/>
    <n v="3000"/>
    <x v="2"/>
    <x v="2"/>
    <n v="6000"/>
    <n v="3"/>
    <s v="Mar"/>
  </r>
  <r>
    <n v="1036"/>
    <x v="35"/>
    <x v="0"/>
    <s v="Electronics"/>
    <n v="1"/>
    <n v="12000"/>
    <x v="3"/>
    <x v="3"/>
    <n v="12000"/>
    <n v="4"/>
    <s v="Apr"/>
  </r>
  <r>
    <n v="1037"/>
    <x v="36"/>
    <x v="1"/>
    <s v="Electronics"/>
    <n v="7"/>
    <n v="8000"/>
    <x v="0"/>
    <x v="0"/>
    <n v="56000"/>
    <n v="4"/>
    <s v="Apr"/>
  </r>
  <r>
    <n v="1038"/>
    <x v="37"/>
    <x v="2"/>
    <s v="Electronics"/>
    <n v="2"/>
    <n v="6000"/>
    <x v="1"/>
    <x v="1"/>
    <n v="12000"/>
    <n v="4"/>
    <s v="Apr"/>
  </r>
  <r>
    <n v="1039"/>
    <x v="38"/>
    <x v="3"/>
    <s v="Furniture"/>
    <n v="4"/>
    <n v="1500"/>
    <x v="2"/>
    <x v="2"/>
    <n v="6000"/>
    <n v="4"/>
    <s v="Apr"/>
  </r>
  <r>
    <n v="1040"/>
    <x v="39"/>
    <x v="4"/>
    <s v="Furniture"/>
    <n v="3"/>
    <n v="3000"/>
    <x v="3"/>
    <x v="3"/>
    <n v="9000"/>
    <n v="4"/>
    <s v="Apr"/>
  </r>
  <r>
    <n v="1041"/>
    <x v="40"/>
    <x v="0"/>
    <s v="Electronics"/>
    <n v="2"/>
    <n v="12000"/>
    <x v="0"/>
    <x v="0"/>
    <n v="24000"/>
    <n v="4"/>
    <s v="Apr"/>
  </r>
  <r>
    <n v="1042"/>
    <x v="41"/>
    <x v="1"/>
    <s v="Electronics"/>
    <n v="5"/>
    <n v="8000"/>
    <x v="1"/>
    <x v="1"/>
    <n v="40000"/>
    <n v="4"/>
    <s v="Apr"/>
  </r>
  <r>
    <n v="1043"/>
    <x v="42"/>
    <x v="2"/>
    <s v="Electronics"/>
    <n v="3"/>
    <n v="6000"/>
    <x v="2"/>
    <x v="2"/>
    <n v="18000"/>
    <n v="4"/>
    <s v="Apr"/>
  </r>
  <r>
    <n v="1044"/>
    <x v="43"/>
    <x v="3"/>
    <s v="Furniture"/>
    <n v="5"/>
    <n v="1500"/>
    <x v="3"/>
    <x v="3"/>
    <n v="7500"/>
    <n v="4"/>
    <s v="Apr"/>
  </r>
  <r>
    <n v="1045"/>
    <x v="44"/>
    <x v="4"/>
    <s v="Furniture"/>
    <n v="2"/>
    <n v="3000"/>
    <x v="0"/>
    <x v="0"/>
    <n v="6000"/>
    <n v="4"/>
    <s v="Apr"/>
  </r>
  <r>
    <n v="1046"/>
    <x v="45"/>
    <x v="0"/>
    <s v="Electronics"/>
    <n v="1"/>
    <n v="12000"/>
    <x v="1"/>
    <x v="4"/>
    <n v="12000"/>
    <n v="4"/>
    <s v="Apr"/>
  </r>
  <r>
    <n v="1047"/>
    <x v="46"/>
    <x v="1"/>
    <s v="Electronics"/>
    <n v="6"/>
    <n v="8000"/>
    <x v="2"/>
    <x v="2"/>
    <n v="48000"/>
    <n v="4"/>
    <s v="Apr"/>
  </r>
  <r>
    <n v="1048"/>
    <x v="47"/>
    <x v="2"/>
    <s v="Electronics"/>
    <n v="2"/>
    <n v="6000"/>
    <x v="3"/>
    <x v="3"/>
    <n v="12000"/>
    <n v="4"/>
    <s v="Apr"/>
  </r>
  <r>
    <n v="1049"/>
    <x v="48"/>
    <x v="3"/>
    <s v="Furniture"/>
    <n v="5"/>
    <n v="1500"/>
    <x v="0"/>
    <x v="0"/>
    <n v="7500"/>
    <n v="4"/>
    <s v="Apr"/>
  </r>
  <r>
    <n v="1050"/>
    <x v="49"/>
    <x v="4"/>
    <s v="Furniture"/>
    <n v="3"/>
    <n v="3000"/>
    <x v="1"/>
    <x v="1"/>
    <n v="9000"/>
    <n v="4"/>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onths">
  <location ref="A31:C36"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2"/>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Product">
  <location ref="A19:C25"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Salesperson">
  <location ref="A39:C44" firstHeaderRow="0"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axis="axisRow" showAll="0" sortType="descending">
      <items count="6">
        <item h="1" x="4"/>
        <item x="3"/>
        <item x="1"/>
        <item x="0"/>
        <item x="2"/>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12">
      <pivotArea collapsedLevelsAreSubtotals="1" fieldPosition="0">
        <references count="1">
          <reference field="7" count="0"/>
        </references>
      </pivotArea>
    </format>
    <format dxfId="13">
      <pivotArea field="7" type="button" dataOnly="0" labelOnly="1" outline="0" axis="axisRow" fieldPosition="0"/>
    </format>
    <format dxfId="14">
      <pivotArea dataOnly="0" labelOnly="1" fieldPosition="0">
        <references count="1">
          <reference field="7" count="0"/>
        </references>
      </pivotArea>
    </format>
    <format dxfId="15">
      <pivotArea dataOnly="0" labelOnly="1" outline="0" axis="axisValues" fieldPosition="0"/>
    </format>
    <format dxfId="16">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6" unboundColumnsRight="1">
    <queryTableFields count="11">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3" s="1"/>
        <i x="4"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4" rowHeight="540000"/>
  <slicer name="product 2" xr10:uid="{1786D0E2-B6B9-4DBD-8044-C114C08C1B54}" cache="Slicer_product" caption="Product" columnCount="2" style="SlicerStyleDark4" rowHeight="540000"/>
  <slicer name="Months (date) 2" xr10:uid="{84B0B475-C360-49E5-A6D9-10F845FA7715}" cache="Slicer_Months__date" caption="Months" columnCount="2" style="SlicerStyleDark1" rowHeight="540000"/>
  <slicer name="salesperson 2" xr10:uid="{8174B063-262C-486B-A89C-E6162DC6A2FD}" cache="Slicer_salesperson" caption="Salesperson" columnCount="2" style="SlicerStyleDark1"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1"/>
    <tableColumn id="3" xr3:uid="{04AD1025-2135-4F4F-9F0A-BD14BBCDD319}" uniqueName="3" name="product" queryTableFieldId="3" dataDxfId="10"/>
    <tableColumn id="4" xr3:uid="{98C51436-CFA6-4268-A529-439207B89C63}" uniqueName="4" name="category" queryTableFieldId="4" dataDxfId="9"/>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8"/>
    <tableColumn id="8" xr3:uid="{5A54056D-462C-44FD-949A-DAC70D24059B}" uniqueName="8" name="salesperson" queryTableFieldId="8"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K52" tableType="queryTable" totalsRowCount="1">
  <autoFilter ref="A1:K51" xr:uid="{EADAA63C-98AD-4D8E-982C-DF9B214F944A}"/>
  <sortState xmlns:xlrd2="http://schemas.microsoft.com/office/spreadsheetml/2017/richdata2" ref="A2:K51">
    <sortCondition ref="I1:I51"/>
  </sortState>
  <tableColumns count="11">
    <tableColumn id="1" xr3:uid="{B927D107-0BC2-4780-B57B-EED0C627C19A}" uniqueName="1" name="transaction_id" queryTableFieldId="1"/>
    <tableColumn id="2" xr3:uid="{B05E22E3-82EA-486F-9F41-C1AFF85F0633}" uniqueName="2" name="date" queryTableFieldId="2" dataDxfId="5" totalsRowDxfId="6"/>
    <tableColumn id="3" xr3:uid="{88CCCAEC-E84F-4D69-A8F9-36816A59F3C0}" uniqueName="3" name="product" queryTableFieldId="3" dataDxfId="4"/>
    <tableColumn id="4" xr3:uid="{C9FFD244-7AF7-4C69-BD44-481964ECA3E0}" uniqueName="4" name="category" queryTableFieldId="4" dataDxfId="3"/>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2"/>
    <tableColumn id="8" xr3:uid="{A520CC5C-DF20-4C8D-90E4-3A2EF105BA27}" uniqueName="8" name="salesperson" queryTableFieldId="8" dataDxfId="1"/>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2" xr3:uid="{968BA1E9-AFDA-44E9-9B0C-D8F197199922}" uniqueName="12" name="months" queryTableFieldId="13" dataDxfId="0">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topLeftCell="A6" workbookViewId="0">
      <selection activeCell="H49" sqref="H49"/>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K52"/>
  <sheetViews>
    <sheetView workbookViewId="0">
      <selection activeCell="O11" sqref="O11"/>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bestFit="1" customWidth="1"/>
    <col min="12" max="12" width="9.44140625" bestFit="1" customWidth="1"/>
    <col min="13" max="13" width="12.109375" bestFit="1" customWidth="1"/>
  </cols>
  <sheetData>
    <row r="1" spans="1:11" x14ac:dyDescent="0.3">
      <c r="A1" t="s">
        <v>0</v>
      </c>
      <c r="B1" t="s">
        <v>1</v>
      </c>
      <c r="C1" t="s">
        <v>2</v>
      </c>
      <c r="D1" t="s">
        <v>3</v>
      </c>
      <c r="E1" t="s">
        <v>4</v>
      </c>
      <c r="F1" t="s">
        <v>5</v>
      </c>
      <c r="G1" t="s">
        <v>6</v>
      </c>
      <c r="H1" t="s">
        <v>7</v>
      </c>
      <c r="I1" t="s">
        <v>8</v>
      </c>
      <c r="J1" t="s">
        <v>9</v>
      </c>
      <c r="K1" t="s">
        <v>34</v>
      </c>
    </row>
    <row r="2" spans="1:11" x14ac:dyDescent="0.3">
      <c r="A2">
        <v>1005</v>
      </c>
      <c r="B2" s="1">
        <v>45311</v>
      </c>
      <c r="C2" t="s">
        <v>24</v>
      </c>
      <c r="D2" t="s">
        <v>21</v>
      </c>
      <c r="E2">
        <v>2</v>
      </c>
      <c r="F2">
        <v>3000</v>
      </c>
      <c r="G2" t="s">
        <v>12</v>
      </c>
      <c r="H2" t="s">
        <v>13</v>
      </c>
      <c r="I2">
        <v>6000</v>
      </c>
      <c r="J2">
        <v>1</v>
      </c>
      <c r="K2" t="str">
        <f t="shared" ref="K2:K33" si="0">TEXT(B2, "mmm")</f>
        <v>Jan</v>
      </c>
    </row>
    <row r="3" spans="1:11" x14ac:dyDescent="0.3">
      <c r="A3">
        <v>1015</v>
      </c>
      <c r="B3" s="1">
        <v>45337</v>
      </c>
      <c r="C3" t="s">
        <v>24</v>
      </c>
      <c r="D3" t="s">
        <v>21</v>
      </c>
      <c r="E3">
        <v>2</v>
      </c>
      <c r="F3">
        <v>3000</v>
      </c>
      <c r="G3" t="s">
        <v>18</v>
      </c>
      <c r="H3" t="s">
        <v>19</v>
      </c>
      <c r="I3">
        <v>6000</v>
      </c>
      <c r="J3">
        <v>2</v>
      </c>
      <c r="K3" t="str">
        <f t="shared" si="0"/>
        <v>Feb</v>
      </c>
    </row>
    <row r="4" spans="1:11" x14ac:dyDescent="0.3">
      <c r="A4">
        <v>1019</v>
      </c>
      <c r="B4" s="1">
        <v>45347</v>
      </c>
      <c r="C4" t="s">
        <v>20</v>
      </c>
      <c r="D4" t="s">
        <v>21</v>
      </c>
      <c r="E4">
        <v>4</v>
      </c>
      <c r="F4">
        <v>1500</v>
      </c>
      <c r="G4" t="s">
        <v>18</v>
      </c>
      <c r="H4" t="s">
        <v>19</v>
      </c>
      <c r="I4">
        <v>6000</v>
      </c>
      <c r="J4">
        <v>2</v>
      </c>
      <c r="K4" t="str">
        <f t="shared" si="0"/>
        <v>Feb</v>
      </c>
    </row>
    <row r="5" spans="1:11" x14ac:dyDescent="0.3">
      <c r="A5">
        <v>1024</v>
      </c>
      <c r="B5" s="1">
        <v>45359</v>
      </c>
      <c r="C5" t="s">
        <v>20</v>
      </c>
      <c r="D5" t="s">
        <v>21</v>
      </c>
      <c r="E5">
        <v>4</v>
      </c>
      <c r="F5">
        <v>1500</v>
      </c>
      <c r="G5" t="s">
        <v>22</v>
      </c>
      <c r="H5" t="s">
        <v>23</v>
      </c>
      <c r="I5">
        <v>6000</v>
      </c>
      <c r="J5">
        <v>3</v>
      </c>
      <c r="K5" t="str">
        <f t="shared" si="0"/>
        <v>Mar</v>
      </c>
    </row>
    <row r="6" spans="1:11" x14ac:dyDescent="0.3">
      <c r="A6">
        <v>1025</v>
      </c>
      <c r="B6" s="1">
        <v>45361</v>
      </c>
      <c r="C6" t="s">
        <v>24</v>
      </c>
      <c r="D6" t="s">
        <v>21</v>
      </c>
      <c r="E6">
        <v>2</v>
      </c>
      <c r="F6">
        <v>3000</v>
      </c>
      <c r="G6" t="s">
        <v>12</v>
      </c>
      <c r="H6" t="s">
        <v>13</v>
      </c>
      <c r="I6">
        <v>6000</v>
      </c>
      <c r="J6">
        <v>3</v>
      </c>
      <c r="K6" t="str">
        <f t="shared" si="0"/>
        <v>Mar</v>
      </c>
    </row>
    <row r="7" spans="1:11" x14ac:dyDescent="0.3">
      <c r="A7">
        <v>1035</v>
      </c>
      <c r="B7" s="1">
        <v>45381</v>
      </c>
      <c r="C7" t="s">
        <v>24</v>
      </c>
      <c r="D7" t="s">
        <v>21</v>
      </c>
      <c r="E7">
        <v>2</v>
      </c>
      <c r="F7">
        <v>3000</v>
      </c>
      <c r="G7" t="s">
        <v>18</v>
      </c>
      <c r="H7" t="s">
        <v>19</v>
      </c>
      <c r="I7">
        <v>6000</v>
      </c>
      <c r="J7">
        <v>3</v>
      </c>
      <c r="K7" t="str">
        <f t="shared" si="0"/>
        <v>Mar</v>
      </c>
    </row>
    <row r="8" spans="1:11" x14ac:dyDescent="0.3">
      <c r="A8">
        <v>1039</v>
      </c>
      <c r="B8" s="1">
        <v>45390</v>
      </c>
      <c r="C8" t="s">
        <v>20</v>
      </c>
      <c r="D8" t="s">
        <v>21</v>
      </c>
      <c r="E8">
        <v>4</v>
      </c>
      <c r="F8">
        <v>1500</v>
      </c>
      <c r="G8" t="s">
        <v>18</v>
      </c>
      <c r="H8" t="s">
        <v>19</v>
      </c>
      <c r="I8">
        <v>6000</v>
      </c>
      <c r="J8">
        <v>4</v>
      </c>
      <c r="K8" t="str">
        <f t="shared" si="0"/>
        <v>Apr</v>
      </c>
    </row>
    <row r="9" spans="1:11" x14ac:dyDescent="0.3">
      <c r="A9">
        <v>1045</v>
      </c>
      <c r="B9" s="1">
        <v>45402</v>
      </c>
      <c r="C9" t="s">
        <v>24</v>
      </c>
      <c r="D9" t="s">
        <v>21</v>
      </c>
      <c r="E9">
        <v>2</v>
      </c>
      <c r="F9">
        <v>3000</v>
      </c>
      <c r="G9" t="s">
        <v>12</v>
      </c>
      <c r="H9" t="s">
        <v>13</v>
      </c>
      <c r="I9">
        <v>6000</v>
      </c>
      <c r="J9">
        <v>4</v>
      </c>
      <c r="K9" t="str">
        <f t="shared" si="0"/>
        <v>Apr</v>
      </c>
    </row>
    <row r="10" spans="1:11" x14ac:dyDescent="0.3">
      <c r="A10">
        <v>1004</v>
      </c>
      <c r="B10" s="1">
        <v>45306</v>
      </c>
      <c r="C10" t="s">
        <v>20</v>
      </c>
      <c r="D10" t="s">
        <v>21</v>
      </c>
      <c r="E10">
        <v>5</v>
      </c>
      <c r="F10">
        <v>1500</v>
      </c>
      <c r="G10" t="s">
        <v>22</v>
      </c>
      <c r="H10" t="s">
        <v>23</v>
      </c>
      <c r="I10">
        <v>7500</v>
      </c>
      <c r="J10">
        <v>1</v>
      </c>
      <c r="K10" t="str">
        <f t="shared" si="0"/>
        <v>Jan</v>
      </c>
    </row>
    <row r="11" spans="1:11" x14ac:dyDescent="0.3">
      <c r="A11">
        <v>1009</v>
      </c>
      <c r="B11" s="1">
        <v>45323</v>
      </c>
      <c r="C11" t="s">
        <v>20</v>
      </c>
      <c r="D11" t="s">
        <v>21</v>
      </c>
      <c r="E11">
        <v>5</v>
      </c>
      <c r="F11">
        <v>1500</v>
      </c>
      <c r="G11" t="s">
        <v>12</v>
      </c>
      <c r="H11" t="s">
        <v>13</v>
      </c>
      <c r="I11">
        <v>7500</v>
      </c>
      <c r="J11">
        <v>2</v>
      </c>
      <c r="K11" t="str">
        <f t="shared" si="0"/>
        <v>Feb</v>
      </c>
    </row>
    <row r="12" spans="1:11" x14ac:dyDescent="0.3">
      <c r="A12">
        <v>1029</v>
      </c>
      <c r="B12" s="1">
        <v>45369</v>
      </c>
      <c r="C12" t="s">
        <v>20</v>
      </c>
      <c r="D12" t="s">
        <v>21</v>
      </c>
      <c r="E12">
        <v>5</v>
      </c>
      <c r="F12">
        <v>1500</v>
      </c>
      <c r="G12" t="s">
        <v>12</v>
      </c>
      <c r="H12" t="s">
        <v>13</v>
      </c>
      <c r="I12">
        <v>7500</v>
      </c>
      <c r="J12">
        <v>3</v>
      </c>
      <c r="K12" t="str">
        <f t="shared" si="0"/>
        <v>Mar</v>
      </c>
    </row>
    <row r="13" spans="1:11" x14ac:dyDescent="0.3">
      <c r="A13">
        <v>1044</v>
      </c>
      <c r="B13" s="1">
        <v>45400</v>
      </c>
      <c r="C13" t="s">
        <v>20</v>
      </c>
      <c r="D13" t="s">
        <v>21</v>
      </c>
      <c r="E13">
        <v>5</v>
      </c>
      <c r="F13">
        <v>1500</v>
      </c>
      <c r="G13" t="s">
        <v>22</v>
      </c>
      <c r="H13" t="s">
        <v>23</v>
      </c>
      <c r="I13">
        <v>7500</v>
      </c>
      <c r="J13">
        <v>4</v>
      </c>
      <c r="K13" t="str">
        <f t="shared" si="0"/>
        <v>Apr</v>
      </c>
    </row>
    <row r="14" spans="1:11" x14ac:dyDescent="0.3">
      <c r="A14">
        <v>1049</v>
      </c>
      <c r="B14" s="1">
        <v>45410</v>
      </c>
      <c r="C14" t="s">
        <v>20</v>
      </c>
      <c r="D14" t="s">
        <v>21</v>
      </c>
      <c r="E14">
        <v>5</v>
      </c>
      <c r="F14">
        <v>1500</v>
      </c>
      <c r="G14" t="s">
        <v>12</v>
      </c>
      <c r="H14" t="s">
        <v>13</v>
      </c>
      <c r="I14">
        <v>7500</v>
      </c>
      <c r="J14">
        <v>4</v>
      </c>
      <c r="K14" t="str">
        <f t="shared" si="0"/>
        <v>Apr</v>
      </c>
    </row>
    <row r="15" spans="1:11" x14ac:dyDescent="0.3">
      <c r="A15">
        <v>1010</v>
      </c>
      <c r="B15" s="1">
        <v>45325</v>
      </c>
      <c r="C15" t="s">
        <v>24</v>
      </c>
      <c r="D15" t="s">
        <v>21</v>
      </c>
      <c r="E15">
        <v>3</v>
      </c>
      <c r="F15">
        <v>3000</v>
      </c>
      <c r="G15" t="s">
        <v>15</v>
      </c>
      <c r="H15" t="s">
        <v>25</v>
      </c>
      <c r="I15">
        <v>9000</v>
      </c>
      <c r="J15">
        <v>2</v>
      </c>
      <c r="K15" t="str">
        <f t="shared" si="0"/>
        <v>Feb</v>
      </c>
    </row>
    <row r="16" spans="1:11" x14ac:dyDescent="0.3">
      <c r="A16">
        <v>1014</v>
      </c>
      <c r="B16" s="1">
        <v>45334</v>
      </c>
      <c r="C16" t="s">
        <v>20</v>
      </c>
      <c r="D16" t="s">
        <v>21</v>
      </c>
      <c r="E16">
        <v>6</v>
      </c>
      <c r="F16">
        <v>1500</v>
      </c>
      <c r="G16" t="s">
        <v>15</v>
      </c>
      <c r="H16" t="s">
        <v>16</v>
      </c>
      <c r="I16">
        <v>9000</v>
      </c>
      <c r="J16">
        <v>2</v>
      </c>
      <c r="K16" t="str">
        <f t="shared" si="0"/>
        <v>Feb</v>
      </c>
    </row>
    <row r="17" spans="1:11" x14ac:dyDescent="0.3">
      <c r="A17">
        <v>1020</v>
      </c>
      <c r="B17" s="1">
        <v>45350</v>
      </c>
      <c r="C17" t="s">
        <v>24</v>
      </c>
      <c r="D17" t="s">
        <v>21</v>
      </c>
      <c r="E17">
        <v>3</v>
      </c>
      <c r="F17">
        <v>3000</v>
      </c>
      <c r="G17" t="s">
        <v>22</v>
      </c>
      <c r="H17" t="s">
        <v>23</v>
      </c>
      <c r="I17">
        <v>9000</v>
      </c>
      <c r="J17">
        <v>2</v>
      </c>
      <c r="K17" t="str">
        <f t="shared" si="0"/>
        <v>Feb</v>
      </c>
    </row>
    <row r="18" spans="1:11" x14ac:dyDescent="0.3">
      <c r="A18">
        <v>1030</v>
      </c>
      <c r="B18" s="1">
        <v>45371</v>
      </c>
      <c r="C18" t="s">
        <v>24</v>
      </c>
      <c r="D18" t="s">
        <v>21</v>
      </c>
      <c r="E18">
        <v>3</v>
      </c>
      <c r="F18">
        <v>3000</v>
      </c>
      <c r="G18" t="s">
        <v>15</v>
      </c>
      <c r="H18" t="s">
        <v>16</v>
      </c>
      <c r="I18">
        <v>9000</v>
      </c>
      <c r="J18">
        <v>3</v>
      </c>
      <c r="K18" t="str">
        <f t="shared" si="0"/>
        <v>Mar</v>
      </c>
    </row>
    <row r="19" spans="1:11" x14ac:dyDescent="0.3">
      <c r="A19">
        <v>1034</v>
      </c>
      <c r="B19" s="1">
        <v>45379</v>
      </c>
      <c r="C19" t="s">
        <v>20</v>
      </c>
      <c r="D19" t="s">
        <v>21</v>
      </c>
      <c r="E19">
        <v>6</v>
      </c>
      <c r="F19">
        <v>1500</v>
      </c>
      <c r="G19" t="s">
        <v>15</v>
      </c>
      <c r="H19" t="s">
        <v>16</v>
      </c>
      <c r="I19">
        <v>9000</v>
      </c>
      <c r="J19">
        <v>3</v>
      </c>
      <c r="K19" t="str">
        <f t="shared" si="0"/>
        <v>Mar</v>
      </c>
    </row>
    <row r="20" spans="1:11" x14ac:dyDescent="0.3">
      <c r="A20">
        <v>1040</v>
      </c>
      <c r="B20" s="1">
        <v>45392</v>
      </c>
      <c r="C20" t="s">
        <v>24</v>
      </c>
      <c r="D20" t="s">
        <v>21</v>
      </c>
      <c r="E20">
        <v>3</v>
      </c>
      <c r="F20">
        <v>3000</v>
      </c>
      <c r="G20" t="s">
        <v>22</v>
      </c>
      <c r="H20" t="s">
        <v>23</v>
      </c>
      <c r="I20">
        <v>9000</v>
      </c>
      <c r="J20">
        <v>4</v>
      </c>
      <c r="K20" t="str">
        <f t="shared" si="0"/>
        <v>Apr</v>
      </c>
    </row>
    <row r="21" spans="1:11" x14ac:dyDescent="0.3">
      <c r="A21">
        <v>1050</v>
      </c>
      <c r="B21" s="1">
        <v>45412</v>
      </c>
      <c r="C21" t="s">
        <v>24</v>
      </c>
      <c r="D21" t="s">
        <v>21</v>
      </c>
      <c r="E21">
        <v>3</v>
      </c>
      <c r="F21">
        <v>3000</v>
      </c>
      <c r="G21" t="s">
        <v>15</v>
      </c>
      <c r="H21" t="s">
        <v>16</v>
      </c>
      <c r="I21">
        <v>9000</v>
      </c>
      <c r="J21">
        <v>4</v>
      </c>
      <c r="K21" t="str">
        <f t="shared" si="0"/>
        <v>Apr</v>
      </c>
    </row>
    <row r="22" spans="1:11" x14ac:dyDescent="0.3">
      <c r="A22">
        <v>1006</v>
      </c>
      <c r="B22" s="1">
        <v>45313</v>
      </c>
      <c r="C22" t="s">
        <v>10</v>
      </c>
      <c r="D22" t="s">
        <v>11</v>
      </c>
      <c r="E22">
        <v>1</v>
      </c>
      <c r="F22">
        <v>12000</v>
      </c>
      <c r="G22" t="s">
        <v>15</v>
      </c>
      <c r="H22" t="s">
        <v>16</v>
      </c>
      <c r="I22">
        <v>12000</v>
      </c>
      <c r="J22">
        <v>1</v>
      </c>
      <c r="K22" t="str">
        <f t="shared" si="0"/>
        <v>Jan</v>
      </c>
    </row>
    <row r="23" spans="1:11" x14ac:dyDescent="0.3">
      <c r="A23">
        <v>1008</v>
      </c>
      <c r="B23" s="1">
        <v>45319</v>
      </c>
      <c r="C23" t="s">
        <v>17</v>
      </c>
      <c r="D23" t="s">
        <v>11</v>
      </c>
      <c r="E23">
        <v>2</v>
      </c>
      <c r="F23">
        <v>6000</v>
      </c>
      <c r="G23" t="s">
        <v>22</v>
      </c>
      <c r="H23" t="s">
        <v>23</v>
      </c>
      <c r="I23">
        <v>12000</v>
      </c>
      <c r="J23">
        <v>1</v>
      </c>
      <c r="K23" t="str">
        <f t="shared" si="0"/>
        <v>Jan</v>
      </c>
    </row>
    <row r="24" spans="1:11" x14ac:dyDescent="0.3">
      <c r="A24">
        <v>1016</v>
      </c>
      <c r="B24" s="1">
        <v>45340</v>
      </c>
      <c r="C24" t="s">
        <v>10</v>
      </c>
      <c r="D24" t="s">
        <v>11</v>
      </c>
      <c r="E24">
        <v>1</v>
      </c>
      <c r="F24">
        <v>12000</v>
      </c>
      <c r="G24" t="s">
        <v>22</v>
      </c>
      <c r="H24" t="s">
        <v>23</v>
      </c>
      <c r="I24">
        <v>12000</v>
      </c>
      <c r="J24">
        <v>2</v>
      </c>
      <c r="K24" t="str">
        <f t="shared" si="0"/>
        <v>Feb</v>
      </c>
    </row>
    <row r="25" spans="1:11" x14ac:dyDescent="0.3">
      <c r="A25">
        <v>1018</v>
      </c>
      <c r="B25" s="1">
        <v>45344</v>
      </c>
      <c r="C25" t="s">
        <v>17</v>
      </c>
      <c r="D25" t="s">
        <v>11</v>
      </c>
      <c r="E25">
        <v>2</v>
      </c>
      <c r="F25">
        <v>6000</v>
      </c>
      <c r="G25" t="s">
        <v>15</v>
      </c>
      <c r="H25" t="s">
        <v>16</v>
      </c>
      <c r="I25">
        <v>12000</v>
      </c>
      <c r="J25">
        <v>2</v>
      </c>
      <c r="K25" t="str">
        <f t="shared" si="0"/>
        <v>Feb</v>
      </c>
    </row>
    <row r="26" spans="1:11" x14ac:dyDescent="0.3">
      <c r="A26">
        <v>1026</v>
      </c>
      <c r="B26" s="1">
        <v>45363</v>
      </c>
      <c r="C26" t="s">
        <v>10</v>
      </c>
      <c r="D26" t="s">
        <v>11</v>
      </c>
      <c r="E26">
        <v>1</v>
      </c>
      <c r="F26">
        <v>12000</v>
      </c>
      <c r="G26" t="s">
        <v>15</v>
      </c>
      <c r="H26" t="s">
        <v>16</v>
      </c>
      <c r="I26">
        <v>12000</v>
      </c>
      <c r="J26">
        <v>3</v>
      </c>
      <c r="K26" t="str">
        <f t="shared" si="0"/>
        <v>Mar</v>
      </c>
    </row>
    <row r="27" spans="1:11" x14ac:dyDescent="0.3">
      <c r="A27">
        <v>1028</v>
      </c>
      <c r="B27" s="1">
        <v>45367</v>
      </c>
      <c r="C27" t="s">
        <v>17</v>
      </c>
      <c r="D27" t="s">
        <v>11</v>
      </c>
      <c r="E27">
        <v>2</v>
      </c>
      <c r="F27">
        <v>6000</v>
      </c>
      <c r="G27" t="s">
        <v>22</v>
      </c>
      <c r="H27" t="s">
        <v>23</v>
      </c>
      <c r="I27">
        <v>12000</v>
      </c>
      <c r="J27">
        <v>3</v>
      </c>
      <c r="K27" t="str">
        <f t="shared" si="0"/>
        <v>Mar</v>
      </c>
    </row>
    <row r="28" spans="1:11" x14ac:dyDescent="0.3">
      <c r="A28">
        <v>1036</v>
      </c>
      <c r="B28" s="1">
        <v>45384</v>
      </c>
      <c r="C28" t="s">
        <v>10</v>
      </c>
      <c r="D28" t="s">
        <v>11</v>
      </c>
      <c r="E28">
        <v>1</v>
      </c>
      <c r="F28">
        <v>12000</v>
      </c>
      <c r="G28" t="s">
        <v>22</v>
      </c>
      <c r="H28" t="s">
        <v>23</v>
      </c>
      <c r="I28">
        <v>12000</v>
      </c>
      <c r="J28">
        <v>4</v>
      </c>
      <c r="K28" t="str">
        <f t="shared" si="0"/>
        <v>Apr</v>
      </c>
    </row>
    <row r="29" spans="1:11" x14ac:dyDescent="0.3">
      <c r="A29">
        <v>1038</v>
      </c>
      <c r="B29" s="1">
        <v>45388</v>
      </c>
      <c r="C29" t="s">
        <v>17</v>
      </c>
      <c r="D29" t="s">
        <v>11</v>
      </c>
      <c r="E29">
        <v>2</v>
      </c>
      <c r="F29">
        <v>6000</v>
      </c>
      <c r="G29" t="s">
        <v>15</v>
      </c>
      <c r="H29" t="s">
        <v>16</v>
      </c>
      <c r="I29">
        <v>12000</v>
      </c>
      <c r="J29">
        <v>4</v>
      </c>
      <c r="K29" t="str">
        <f t="shared" si="0"/>
        <v>Apr</v>
      </c>
    </row>
    <row r="30" spans="1:11" x14ac:dyDescent="0.3">
      <c r="A30">
        <v>1046</v>
      </c>
      <c r="B30" s="1">
        <v>45404</v>
      </c>
      <c r="C30" t="s">
        <v>10</v>
      </c>
      <c r="D30" t="s">
        <v>11</v>
      </c>
      <c r="E30">
        <v>1</v>
      </c>
      <c r="F30">
        <v>12000</v>
      </c>
      <c r="G30" t="s">
        <v>15</v>
      </c>
      <c r="H30" t="s">
        <v>25</v>
      </c>
      <c r="I30">
        <v>12000</v>
      </c>
      <c r="J30">
        <v>4</v>
      </c>
      <c r="K30" t="str">
        <f t="shared" si="0"/>
        <v>Apr</v>
      </c>
    </row>
    <row r="31" spans="1:11" x14ac:dyDescent="0.3">
      <c r="A31">
        <v>1048</v>
      </c>
      <c r="B31" s="1">
        <v>45408</v>
      </c>
      <c r="C31" t="s">
        <v>17</v>
      </c>
      <c r="D31" t="s">
        <v>11</v>
      </c>
      <c r="E31">
        <v>2</v>
      </c>
      <c r="F31">
        <v>6000</v>
      </c>
      <c r="G31" t="s">
        <v>22</v>
      </c>
      <c r="H31" t="s">
        <v>23</v>
      </c>
      <c r="I31">
        <v>12000</v>
      </c>
      <c r="J31">
        <v>4</v>
      </c>
      <c r="K31" t="str">
        <f t="shared" si="0"/>
        <v>Apr</v>
      </c>
    </row>
    <row r="32" spans="1:11" x14ac:dyDescent="0.3">
      <c r="A32">
        <v>1003</v>
      </c>
      <c r="B32" s="1">
        <v>45301</v>
      </c>
      <c r="C32" t="s">
        <v>17</v>
      </c>
      <c r="D32" t="s">
        <v>11</v>
      </c>
      <c r="E32">
        <v>3</v>
      </c>
      <c r="F32">
        <v>6000</v>
      </c>
      <c r="G32" t="s">
        <v>18</v>
      </c>
      <c r="H32" t="s">
        <v>19</v>
      </c>
      <c r="I32">
        <v>18000</v>
      </c>
      <c r="J32">
        <v>1</v>
      </c>
      <c r="K32" t="str">
        <f t="shared" si="0"/>
        <v>Jan</v>
      </c>
    </row>
    <row r="33" spans="1:11" x14ac:dyDescent="0.3">
      <c r="A33">
        <v>1013</v>
      </c>
      <c r="B33" s="1">
        <v>45332</v>
      </c>
      <c r="C33" t="s">
        <v>17</v>
      </c>
      <c r="D33" t="s">
        <v>11</v>
      </c>
      <c r="E33">
        <v>3</v>
      </c>
      <c r="F33">
        <v>6000</v>
      </c>
      <c r="G33" t="s">
        <v>12</v>
      </c>
      <c r="H33" t="s">
        <v>13</v>
      </c>
      <c r="I33">
        <v>18000</v>
      </c>
      <c r="J33">
        <v>2</v>
      </c>
      <c r="K33" t="str">
        <f t="shared" si="0"/>
        <v>Feb</v>
      </c>
    </row>
    <row r="34" spans="1:11" x14ac:dyDescent="0.3">
      <c r="A34">
        <v>1023</v>
      </c>
      <c r="B34" s="1">
        <v>45357</v>
      </c>
      <c r="C34" t="s">
        <v>17</v>
      </c>
      <c r="D34" t="s">
        <v>11</v>
      </c>
      <c r="E34">
        <v>3</v>
      </c>
      <c r="F34">
        <v>6000</v>
      </c>
      <c r="G34" t="s">
        <v>18</v>
      </c>
      <c r="H34" t="s">
        <v>19</v>
      </c>
      <c r="I34">
        <v>18000</v>
      </c>
      <c r="J34">
        <v>3</v>
      </c>
      <c r="K34" t="str">
        <f t="shared" ref="K34:K51" si="1">TEXT(B34, "mmm")</f>
        <v>Mar</v>
      </c>
    </row>
    <row r="35" spans="1:11" x14ac:dyDescent="0.3">
      <c r="A35">
        <v>1033</v>
      </c>
      <c r="B35" s="1">
        <v>45377</v>
      </c>
      <c r="C35" t="s">
        <v>17</v>
      </c>
      <c r="D35" t="s">
        <v>11</v>
      </c>
      <c r="E35">
        <v>3</v>
      </c>
      <c r="F35">
        <v>6000</v>
      </c>
      <c r="G35" t="s">
        <v>12</v>
      </c>
      <c r="H35" t="s">
        <v>13</v>
      </c>
      <c r="I35">
        <v>18000</v>
      </c>
      <c r="J35">
        <v>3</v>
      </c>
      <c r="K35" t="str">
        <f t="shared" si="1"/>
        <v>Mar</v>
      </c>
    </row>
    <row r="36" spans="1:11" x14ac:dyDescent="0.3">
      <c r="A36">
        <v>1043</v>
      </c>
      <c r="B36" s="1">
        <v>45398</v>
      </c>
      <c r="C36" t="s">
        <v>17</v>
      </c>
      <c r="D36" t="s">
        <v>11</v>
      </c>
      <c r="E36">
        <v>3</v>
      </c>
      <c r="F36">
        <v>6000</v>
      </c>
      <c r="G36" t="s">
        <v>18</v>
      </c>
      <c r="H36" t="s">
        <v>19</v>
      </c>
      <c r="I36">
        <v>18000</v>
      </c>
      <c r="J36">
        <v>4</v>
      </c>
      <c r="K36" t="str">
        <f t="shared" si="1"/>
        <v>Apr</v>
      </c>
    </row>
    <row r="37" spans="1:11" x14ac:dyDescent="0.3">
      <c r="A37">
        <v>1001</v>
      </c>
      <c r="B37" s="1">
        <v>45296</v>
      </c>
      <c r="C37" t="s">
        <v>10</v>
      </c>
      <c r="D37" t="s">
        <v>11</v>
      </c>
      <c r="E37">
        <v>2</v>
      </c>
      <c r="F37">
        <v>12000</v>
      </c>
      <c r="G37" t="s">
        <v>12</v>
      </c>
      <c r="H37" t="s">
        <v>13</v>
      </c>
      <c r="I37">
        <v>24000</v>
      </c>
      <c r="J37">
        <v>1</v>
      </c>
      <c r="K37" t="str">
        <f t="shared" si="1"/>
        <v>Jan</v>
      </c>
    </row>
    <row r="38" spans="1:11" x14ac:dyDescent="0.3">
      <c r="A38">
        <v>1011</v>
      </c>
      <c r="B38" s="1">
        <v>45327</v>
      </c>
      <c r="C38" t="s">
        <v>10</v>
      </c>
      <c r="D38" t="s">
        <v>11</v>
      </c>
      <c r="E38">
        <v>2</v>
      </c>
      <c r="F38">
        <v>12000</v>
      </c>
      <c r="G38" t="s">
        <v>18</v>
      </c>
      <c r="H38" t="s">
        <v>19</v>
      </c>
      <c r="I38">
        <v>24000</v>
      </c>
      <c r="J38">
        <v>2</v>
      </c>
      <c r="K38" t="str">
        <f t="shared" si="1"/>
        <v>Feb</v>
      </c>
    </row>
    <row r="39" spans="1:11" x14ac:dyDescent="0.3">
      <c r="A39">
        <v>1021</v>
      </c>
      <c r="B39" s="1">
        <v>45353</v>
      </c>
      <c r="C39" t="s">
        <v>10</v>
      </c>
      <c r="D39" t="s">
        <v>11</v>
      </c>
      <c r="E39">
        <v>2</v>
      </c>
      <c r="F39">
        <v>12000</v>
      </c>
      <c r="G39" t="s">
        <v>12</v>
      </c>
      <c r="H39" t="s">
        <v>13</v>
      </c>
      <c r="I39">
        <v>24000</v>
      </c>
      <c r="J39">
        <v>3</v>
      </c>
      <c r="K39" t="str">
        <f t="shared" si="1"/>
        <v>Mar</v>
      </c>
    </row>
    <row r="40" spans="1:11" x14ac:dyDescent="0.3">
      <c r="A40">
        <v>1031</v>
      </c>
      <c r="B40" s="1">
        <v>45373</v>
      </c>
      <c r="C40" t="s">
        <v>10</v>
      </c>
      <c r="D40" t="s">
        <v>11</v>
      </c>
      <c r="E40">
        <v>2</v>
      </c>
      <c r="F40">
        <v>12000</v>
      </c>
      <c r="G40" t="s">
        <v>18</v>
      </c>
      <c r="H40" t="s">
        <v>19</v>
      </c>
      <c r="I40">
        <v>24000</v>
      </c>
      <c r="J40">
        <v>3</v>
      </c>
      <c r="K40" t="str">
        <f t="shared" si="1"/>
        <v>Mar</v>
      </c>
    </row>
    <row r="41" spans="1:11" x14ac:dyDescent="0.3">
      <c r="A41">
        <v>1041</v>
      </c>
      <c r="B41" s="1">
        <v>45394</v>
      </c>
      <c r="C41" t="s">
        <v>10</v>
      </c>
      <c r="D41" t="s">
        <v>11</v>
      </c>
      <c r="E41">
        <v>2</v>
      </c>
      <c r="F41">
        <v>12000</v>
      </c>
      <c r="G41" t="s">
        <v>12</v>
      </c>
      <c r="H41" t="s">
        <v>13</v>
      </c>
      <c r="I41">
        <v>24000</v>
      </c>
      <c r="J41">
        <v>4</v>
      </c>
      <c r="K41" t="str">
        <f t="shared" si="1"/>
        <v>Apr</v>
      </c>
    </row>
    <row r="42" spans="1:11" x14ac:dyDescent="0.3">
      <c r="A42">
        <v>1012</v>
      </c>
      <c r="B42" s="1">
        <v>45329</v>
      </c>
      <c r="C42" t="s">
        <v>14</v>
      </c>
      <c r="D42" t="s">
        <v>11</v>
      </c>
      <c r="E42">
        <v>4</v>
      </c>
      <c r="F42">
        <v>8000</v>
      </c>
      <c r="G42" t="s">
        <v>22</v>
      </c>
      <c r="H42" t="s">
        <v>23</v>
      </c>
      <c r="I42">
        <v>32000</v>
      </c>
      <c r="J42">
        <v>2</v>
      </c>
      <c r="K42" t="str">
        <f t="shared" si="1"/>
        <v>Feb</v>
      </c>
    </row>
    <row r="43" spans="1:11" x14ac:dyDescent="0.3">
      <c r="A43">
        <v>1032</v>
      </c>
      <c r="B43" s="1">
        <v>45375</v>
      </c>
      <c r="C43" t="s">
        <v>14</v>
      </c>
      <c r="D43" t="s">
        <v>11</v>
      </c>
      <c r="E43">
        <v>4</v>
      </c>
      <c r="F43">
        <v>8000</v>
      </c>
      <c r="G43" t="s">
        <v>22</v>
      </c>
      <c r="H43" t="s">
        <v>23</v>
      </c>
      <c r="I43">
        <v>32000</v>
      </c>
      <c r="J43">
        <v>3</v>
      </c>
      <c r="K43" t="str">
        <f t="shared" si="1"/>
        <v>Mar</v>
      </c>
    </row>
    <row r="44" spans="1:11" x14ac:dyDescent="0.3">
      <c r="A44">
        <v>1002</v>
      </c>
      <c r="B44" s="1">
        <v>45298</v>
      </c>
      <c r="C44" t="s">
        <v>14</v>
      </c>
      <c r="D44" t="s">
        <v>11</v>
      </c>
      <c r="E44">
        <v>5</v>
      </c>
      <c r="F44">
        <v>8000</v>
      </c>
      <c r="G44" t="s">
        <v>15</v>
      </c>
      <c r="H44" t="s">
        <v>16</v>
      </c>
      <c r="I44">
        <v>40000</v>
      </c>
      <c r="J44">
        <v>1</v>
      </c>
      <c r="K44" t="str">
        <f t="shared" si="1"/>
        <v>Jan</v>
      </c>
    </row>
    <row r="45" spans="1:11" x14ac:dyDescent="0.3">
      <c r="A45">
        <v>1022</v>
      </c>
      <c r="B45" s="1">
        <v>45355</v>
      </c>
      <c r="C45" t="s">
        <v>14</v>
      </c>
      <c r="D45" t="s">
        <v>11</v>
      </c>
      <c r="E45">
        <v>5</v>
      </c>
      <c r="F45">
        <v>8000</v>
      </c>
      <c r="G45" t="s">
        <v>15</v>
      </c>
      <c r="H45" t="s">
        <v>16</v>
      </c>
      <c r="I45">
        <v>40000</v>
      </c>
      <c r="J45">
        <v>3</v>
      </c>
      <c r="K45" t="str">
        <f t="shared" si="1"/>
        <v>Mar</v>
      </c>
    </row>
    <row r="46" spans="1:11" x14ac:dyDescent="0.3">
      <c r="A46">
        <v>1042</v>
      </c>
      <c r="B46" s="1">
        <v>45396</v>
      </c>
      <c r="C46" t="s">
        <v>14</v>
      </c>
      <c r="D46" t="s">
        <v>11</v>
      </c>
      <c r="E46">
        <v>5</v>
      </c>
      <c r="F46">
        <v>8000</v>
      </c>
      <c r="G46" t="s">
        <v>15</v>
      </c>
      <c r="H46" t="s">
        <v>16</v>
      </c>
      <c r="I46">
        <v>40000</v>
      </c>
      <c r="J46">
        <v>4</v>
      </c>
      <c r="K46" t="str">
        <f t="shared" si="1"/>
        <v>Apr</v>
      </c>
    </row>
    <row r="47" spans="1:11" x14ac:dyDescent="0.3">
      <c r="A47">
        <v>1007</v>
      </c>
      <c r="B47" s="1">
        <v>45316</v>
      </c>
      <c r="C47" t="s">
        <v>14</v>
      </c>
      <c r="D47" t="s">
        <v>11</v>
      </c>
      <c r="E47">
        <v>6</v>
      </c>
      <c r="F47">
        <v>8000</v>
      </c>
      <c r="G47" t="s">
        <v>18</v>
      </c>
      <c r="H47" t="s">
        <v>19</v>
      </c>
      <c r="I47">
        <v>48000</v>
      </c>
      <c r="J47">
        <v>1</v>
      </c>
      <c r="K47" t="str">
        <f t="shared" si="1"/>
        <v>Jan</v>
      </c>
    </row>
    <row r="48" spans="1:11" x14ac:dyDescent="0.3">
      <c r="A48">
        <v>1027</v>
      </c>
      <c r="B48" s="1">
        <v>45365</v>
      </c>
      <c r="C48" t="s">
        <v>14</v>
      </c>
      <c r="D48" t="s">
        <v>11</v>
      </c>
      <c r="E48">
        <v>6</v>
      </c>
      <c r="F48">
        <v>8000</v>
      </c>
      <c r="G48" t="s">
        <v>18</v>
      </c>
      <c r="H48" t="s">
        <v>19</v>
      </c>
      <c r="I48">
        <v>48000</v>
      </c>
      <c r="J48">
        <v>3</v>
      </c>
      <c r="K48" t="str">
        <f t="shared" si="1"/>
        <v>Mar</v>
      </c>
    </row>
    <row r="49" spans="1:11" x14ac:dyDescent="0.3">
      <c r="A49">
        <v>1047</v>
      </c>
      <c r="B49" s="1">
        <v>45406</v>
      </c>
      <c r="C49" t="s">
        <v>14</v>
      </c>
      <c r="D49" t="s">
        <v>11</v>
      </c>
      <c r="E49">
        <v>6</v>
      </c>
      <c r="F49">
        <v>8000</v>
      </c>
      <c r="G49" t="s">
        <v>18</v>
      </c>
      <c r="H49" t="s">
        <v>19</v>
      </c>
      <c r="I49">
        <v>48000</v>
      </c>
      <c r="J49">
        <v>4</v>
      </c>
      <c r="K49" t="str">
        <f t="shared" si="1"/>
        <v>Apr</v>
      </c>
    </row>
    <row r="50" spans="1:11" x14ac:dyDescent="0.3">
      <c r="A50">
        <v>1017</v>
      </c>
      <c r="B50" s="1">
        <v>45342</v>
      </c>
      <c r="C50" t="s">
        <v>14</v>
      </c>
      <c r="D50" t="s">
        <v>11</v>
      </c>
      <c r="E50">
        <v>7</v>
      </c>
      <c r="F50">
        <v>8000</v>
      </c>
      <c r="G50" t="s">
        <v>12</v>
      </c>
      <c r="H50" t="s">
        <v>13</v>
      </c>
      <c r="I50">
        <v>56000</v>
      </c>
      <c r="J50">
        <v>2</v>
      </c>
      <c r="K50" t="str">
        <f t="shared" si="1"/>
        <v>Feb</v>
      </c>
    </row>
    <row r="51" spans="1:11" x14ac:dyDescent="0.3">
      <c r="A51">
        <v>1037</v>
      </c>
      <c r="B51" s="1">
        <v>45386</v>
      </c>
      <c r="C51" t="s">
        <v>14</v>
      </c>
      <c r="D51" t="s">
        <v>11</v>
      </c>
      <c r="E51">
        <v>7</v>
      </c>
      <c r="F51">
        <v>8000</v>
      </c>
      <c r="G51" t="s">
        <v>12</v>
      </c>
      <c r="H51" t="s">
        <v>13</v>
      </c>
      <c r="I51">
        <v>56000</v>
      </c>
      <c r="J51">
        <v>4</v>
      </c>
      <c r="K51" t="str">
        <f t="shared" si="1"/>
        <v>Apr</v>
      </c>
    </row>
    <row r="52" spans="1:11"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4"/>
  <sheetViews>
    <sheetView topLeftCell="A20" zoomScale="91" zoomScaleNormal="100" workbookViewId="0">
      <selection activeCell="K34" sqref="K34"/>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23</v>
      </c>
      <c r="B40" s="4">
        <v>163000</v>
      </c>
      <c r="C40" s="9">
        <v>0.18161559888579387</v>
      </c>
    </row>
    <row r="41" spans="1:17" x14ac:dyDescent="0.3">
      <c r="A41" s="6" t="s">
        <v>16</v>
      </c>
      <c r="B41" s="4">
        <v>204000</v>
      </c>
      <c r="C41" s="9">
        <v>0.22729805013927576</v>
      </c>
    </row>
    <row r="42" spans="1:17" x14ac:dyDescent="0.3">
      <c r="A42" s="6" t="s">
        <v>13</v>
      </c>
      <c r="B42" s="4">
        <v>260500</v>
      </c>
      <c r="C42" s="9">
        <v>0.29025069637883011</v>
      </c>
    </row>
    <row r="43" spans="1:17" x14ac:dyDescent="0.3">
      <c r="A43" s="6" t="s">
        <v>19</v>
      </c>
      <c r="B43" s="4">
        <v>270000</v>
      </c>
      <c r="C43" s="9">
        <v>0.30083565459610029</v>
      </c>
    </row>
    <row r="44" spans="1:17" x14ac:dyDescent="0.3">
      <c r="A44" s="3" t="s">
        <v>26</v>
      </c>
      <c r="B44" s="10">
        <v>897500</v>
      </c>
      <c r="C44"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4">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C40:C44</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H15" zoomScale="52" zoomScaleNormal="25" workbookViewId="0">
      <selection activeCell="X78" sqref="X78"/>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2026-04-21T06:56:43Z</dcterms:modified>
</cp:coreProperties>
</file>