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c_JabulanePoulo_2026\Projects\Timesheet\Jabulane_Poulo\"/>
    </mc:Choice>
  </mc:AlternateContent>
  <xr:revisionPtr revIDLastSave="0" documentId="13_ncr:1_{011C515B-409D-4984-9758-4B7B87186AE9}" xr6:coauthVersionLast="47" xr6:coauthVersionMax="47" xr10:uidLastSave="{00000000-0000-0000-0000-000000000000}"/>
  <bookViews>
    <workbookView xWindow="-108" yWindow="-108" windowWidth="23256" windowHeight="12456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30" i="10" l="1"/>
  <c r="H129" i="10"/>
  <c r="H128" i="10"/>
  <c r="H127" i="10"/>
  <c r="H126" i="10"/>
  <c r="H125" i="10"/>
  <c r="H123" i="10"/>
  <c r="H124" i="10"/>
  <c r="H122" i="10"/>
  <c r="H121" i="10"/>
  <c r="H120" i="10"/>
  <c r="H119" i="10"/>
  <c r="H116" i="10"/>
  <c r="H113" i="10"/>
  <c r="H114" i="10"/>
  <c r="H115" i="10"/>
  <c r="H117" i="10"/>
  <c r="H108" i="10"/>
  <c r="H107" i="10"/>
  <c r="H106" i="10"/>
  <c r="H105" i="10"/>
  <c r="H104" i="10"/>
  <c r="H103" i="10"/>
  <c r="H102" i="10"/>
  <c r="H100" i="10"/>
  <c r="H99" i="10"/>
  <c r="H98" i="10"/>
  <c r="H97" i="10"/>
  <c r="H96" i="10"/>
  <c r="H94" i="10"/>
  <c r="H93" i="10"/>
  <c r="H92" i="10"/>
  <c r="H91" i="10"/>
  <c r="H89" i="10"/>
  <c r="H88" i="10"/>
  <c r="H87" i="10"/>
  <c r="H86" i="10"/>
  <c r="H85" i="10"/>
  <c r="H84" i="10"/>
  <c r="H83" i="10"/>
  <c r="H82" i="10"/>
  <c r="H81" i="10"/>
  <c r="H80" i="10"/>
  <c r="H76" i="10"/>
  <c r="H75" i="10"/>
  <c r="H74" i="10"/>
  <c r="H73" i="10"/>
  <c r="H71" i="10"/>
  <c r="H70" i="10"/>
  <c r="H69" i="10"/>
  <c r="H68" i="10"/>
  <c r="H67" i="10"/>
  <c r="H61" i="10"/>
  <c r="H62" i="10"/>
  <c r="H63" i="10"/>
  <c r="H64" i="10"/>
  <c r="H65" i="10"/>
  <c r="H57" i="10"/>
  <c r="H55" i="10"/>
  <c r="H56" i="10"/>
  <c r="H58" i="10"/>
  <c r="H59" i="10"/>
  <c r="H49" i="10"/>
  <c r="H50" i="10"/>
  <c r="H51" i="10"/>
  <c r="H52" i="10"/>
  <c r="H53" i="10"/>
  <c r="H45" i="10"/>
  <c r="H44" i="10"/>
  <c r="H43" i="10"/>
  <c r="H41" i="10"/>
  <c r="H40" i="10"/>
  <c r="H39" i="10"/>
  <c r="H38" i="10"/>
  <c r="H36" i="10"/>
  <c r="H35" i="10"/>
  <c r="H34" i="10"/>
  <c r="H33" i="10"/>
  <c r="H32" i="10"/>
  <c r="H31" i="10"/>
  <c r="H29" i="10"/>
  <c r="H25" i="10"/>
  <c r="H26" i="10"/>
  <c r="H27" i="10"/>
  <c r="H28" i="10"/>
  <c r="H19" i="10"/>
  <c r="H18" i="10"/>
  <c r="H17" i="10"/>
  <c r="H16" i="10"/>
  <c r="H15" i="10"/>
  <c r="H11" i="10"/>
  <c r="H12" i="10"/>
  <c r="H9" i="10"/>
  <c r="H10" i="10"/>
  <c r="H13" i="10"/>
  <c r="H9" i="6"/>
  <c r="H11" i="5"/>
  <c r="H9" i="3"/>
  <c r="F136" i="10"/>
  <c r="H20" i="10"/>
  <c r="H23" i="10"/>
  <c r="H21" i="10"/>
  <c r="F44" i="6"/>
  <c r="F45" i="4"/>
  <c r="F44" i="4"/>
  <c r="F44" i="3"/>
  <c r="F43" i="3"/>
  <c r="F45" i="1"/>
  <c r="F43" i="6"/>
  <c r="H32" i="6"/>
  <c r="F45" i="5"/>
  <c r="F44" i="5"/>
  <c r="H9" i="5"/>
  <c r="H37" i="5"/>
  <c r="H38" i="5"/>
  <c r="H39" i="5"/>
  <c r="H9" i="4"/>
  <c r="H10" i="1"/>
  <c r="H39" i="1"/>
  <c r="H39" i="4"/>
  <c r="H15" i="1"/>
  <c r="D14" i="9"/>
  <c r="F17" i="8"/>
  <c r="B6" i="8" s="1"/>
  <c r="H131" i="10" l="1"/>
  <c r="H118" i="10"/>
  <c r="H112" i="10"/>
  <c r="H111" i="10"/>
  <c r="H110" i="10"/>
  <c r="H109" i="10"/>
  <c r="H101" i="10"/>
  <c r="H95" i="10"/>
  <c r="H90" i="10"/>
  <c r="H79" i="10"/>
  <c r="H78" i="10"/>
  <c r="H77" i="10"/>
  <c r="H72" i="10"/>
  <c r="H66" i="10"/>
  <c r="H60" i="10"/>
  <c r="H54" i="10"/>
  <c r="H48" i="10"/>
  <c r="H47" i="10"/>
  <c r="H46" i="10"/>
  <c r="H42" i="10"/>
  <c r="H37" i="10"/>
  <c r="H30" i="10"/>
  <c r="H24" i="10"/>
  <c r="H22" i="10"/>
  <c r="H14" i="10"/>
  <c r="H31" i="3"/>
  <c r="F137" i="10" l="1"/>
  <c r="F138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44" i="1" s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46" i="1"/>
  <c r="B6" i="1"/>
</calcChain>
</file>

<file path=xl/sharedStrings.xml><?xml version="1.0" encoding="utf-8"?>
<sst xmlns="http://schemas.openxmlformats.org/spreadsheetml/2006/main" count="1098" uniqueCount="261">
  <si>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</si>
  <si>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</si>
  <si>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</si>
  <si>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</si>
  <si>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</si>
  <si>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</si>
  <si>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</si>
  <si>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</si>
  <si>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</si>
  <si>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</si>
  <si>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</si>
  <si>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</si>
  <si>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</si>
  <si>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</si>
  <si>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</si>
  <si>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</si>
  <si>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</si>
  <si>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</si>
  <si>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</si>
  <si>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</si>
  <si>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</si>
  <si>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</si>
  <si>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</si>
  <si>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</si>
  <si>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</si>
  <si>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</si>
  <si>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</si>
  <si>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</si>
  <si>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</si>
  <si>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</si>
  <si>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</si>
  <si>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</si>
  <si>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</si>
  <si>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</si>
  <si>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</si>
  <si>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</si>
  <si>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</si>
  <si>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</si>
  <si>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</si>
  <si>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</si>
  <si>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</si>
  <si>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</si>
  <si>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</si>
  <si>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</si>
  <si>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</si>
  <si>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</si>
  <si>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</si>
  <si>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</si>
  <si>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</si>
  <si>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</si>
  <si>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</si>
  <si>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</si>
  <si>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</si>
  <si>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</si>
  <si>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</si>
  <si>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</si>
  <si>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</si>
  <si>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</si>
  <si>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</si>
  <si>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</si>
  <si>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</si>
  <si>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</si>
  <si>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</si>
  <si>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</si>
  <si>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</si>
  <si>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</si>
  <si>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</si>
  <si>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</si>
  <si>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</si>
  <si>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</si>
  <si>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Sales call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</si>
  <si>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</si>
  <si>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</si>
  <si>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</si>
  <si>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</si>
  <si>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</si>
  <si>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</si>
  <si>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</si>
  <si>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</si>
  <si>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</si>
  <si>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</si>
  <si>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</si>
  <si>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</si>
  <si>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</si>
  <si>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</si>
  <si>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</si>
  <si>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</si>
  <si>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</si>
  <si>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</si>
  <si>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</si>
  <si>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</si>
  <si>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Sick Leave - half day</t>
  </si>
  <si>
    <t>Zola</t>
  </si>
  <si>
    <t>Total Billable Hours</t>
  </si>
  <si>
    <t>Type</t>
  </si>
  <si>
    <t>ZAR COST</t>
  </si>
  <si>
    <t xml:space="preserve">TOTAL 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</si>
  <si>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</si>
  <si>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</si>
  <si>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</si>
  <si>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</si>
  <si>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</si>
  <si>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</si>
  <si>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Address and Telephone Number during Annual Leave</t>
  </si>
  <si>
    <t>Employee Signature</t>
  </si>
  <si>
    <t>Client Signature</t>
  </si>
  <si>
    <t>Example</t>
  </si>
  <si>
    <t>Detailed Description of task(s) done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</si>
  <si>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</si>
  <si>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</si>
  <si>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</si>
  <si>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</si>
  <si>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</si>
  <si>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</si>
  <si>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</si>
  <si>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</si>
  <si>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</si>
  <si>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</si>
  <si>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</si>
  <si>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</si>
  <si>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</si>
  <si>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</si>
  <si>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Vincent</t>
  </si>
  <si>
    <t>Phone</t>
  </si>
  <si>
    <t>WiFi</t>
  </si>
  <si>
    <t>Internal Sambe</t>
  </si>
  <si>
    <t>AFA Sasfin</t>
  </si>
  <si>
    <t>Artist Proof Studio</t>
  </si>
  <si>
    <t>WiFi / Internet / Data</t>
  </si>
  <si>
    <t>C. Steinweg</t>
  </si>
  <si>
    <t>Conekt AGSA SharePoint</t>
  </si>
  <si>
    <t>Bihaag</t>
  </si>
  <si>
    <t>Conekt – Meridian</t>
  </si>
  <si>
    <t>Conekt – Clientele</t>
  </si>
  <si>
    <t>Clement</t>
  </si>
  <si>
    <t>Conekt – Winning Business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</si>
  <si>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</si>
  <si>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</si>
  <si>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</si>
  <si>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</si>
  <si>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</si>
  <si>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</si>
  <si>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Discovery CSI</t>
  </si>
  <si>
    <t>Discovery Health</t>
  </si>
  <si>
    <t xml:space="preserve">Discovery Skills </t>
  </si>
  <si>
    <t>Discovery Vitality</t>
  </si>
  <si>
    <t>Gyro</t>
  </si>
  <si>
    <t>Juan</t>
  </si>
  <si>
    <t>KFC Digistics</t>
  </si>
  <si>
    <t>Medi-Charge</t>
  </si>
  <si>
    <t>MICA Build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</si>
  <si>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</si>
  <si>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</si>
  <si>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</si>
  <si>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</si>
  <si>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</si>
  <si>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</si>
  <si>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Tumelo</t>
  </si>
  <si>
    <t>Rivashan</t>
  </si>
  <si>
    <t>Sibanya</t>
  </si>
  <si>
    <t>Transport Holdings</t>
  </si>
  <si>
    <t>Timothy</t>
  </si>
  <si>
    <t>Tutu</t>
  </si>
  <si>
    <t xml:space="preserve">Yugeshin </t>
  </si>
  <si>
    <t>Nagendra</t>
  </si>
  <si>
    <t>Total Claim</t>
  </si>
  <si>
    <t>Details</t>
  </si>
  <si>
    <t>Expense Description</t>
  </si>
  <si>
    <t>Vodacom (Example line)</t>
  </si>
  <si>
    <t xml:space="preserve">Do not add the R symbol when capturing the amount. Use the comma not the full stop. </t>
  </si>
  <si>
    <t>Month</t>
  </si>
  <si>
    <t>MTN (Example line)</t>
  </si>
  <si>
    <t>Afrihost (Example line)</t>
  </si>
  <si>
    <t>Please select applicable Leave and state number of days</t>
  </si>
  <si>
    <t>Date From</t>
  </si>
  <si>
    <t>Date To</t>
  </si>
  <si>
    <t>Tyson</t>
  </si>
  <si>
    <t>Good Friday</t>
  </si>
  <si>
    <t>Family Day</t>
  </si>
  <si>
    <t xml:space="preserve">Freedom Day </t>
  </si>
  <si>
    <t>Worker's Day</t>
  </si>
  <si>
    <t>Youth Day</t>
  </si>
  <si>
    <t>National Women's Day</t>
  </si>
  <si>
    <t>Heritage Day</t>
  </si>
  <si>
    <t>Brian</t>
  </si>
  <si>
    <t>Jubhele</t>
  </si>
  <si>
    <t>Evashan</t>
  </si>
  <si>
    <t>Karabo</t>
  </si>
  <si>
    <t>Keown</t>
  </si>
  <si>
    <t>Kiaan</t>
  </si>
  <si>
    <t>Muzuvukile</t>
  </si>
  <si>
    <t>Nathalia</t>
  </si>
  <si>
    <t>Neo</t>
  </si>
  <si>
    <t xml:space="preserve">Pascal  </t>
  </si>
  <si>
    <t>NA</t>
  </si>
  <si>
    <t>Thapelo</t>
  </si>
  <si>
    <t>Sanlam</t>
  </si>
  <si>
    <t>Life Healthcare</t>
  </si>
  <si>
    <t>Elrida</t>
  </si>
  <si>
    <t>National Women's Day Obs</t>
  </si>
  <si>
    <t>Jashmeen</t>
  </si>
  <si>
    <t>Pogiso</t>
  </si>
  <si>
    <t>Suryansh</t>
  </si>
  <si>
    <t>Dipthi</t>
  </si>
  <si>
    <t>Lutchman</t>
  </si>
  <si>
    <t>Buhle</t>
  </si>
  <si>
    <t xml:space="preserve">Charmane </t>
  </si>
  <si>
    <t>Jabulane</t>
  </si>
  <si>
    <t xml:space="preserve">Kayden </t>
  </si>
  <si>
    <t>Lwazisile</t>
  </si>
  <si>
    <t>Rushil</t>
  </si>
  <si>
    <t>Shriya</t>
  </si>
  <si>
    <t>Teolan</t>
  </si>
  <si>
    <t>Discovery CRES</t>
  </si>
  <si>
    <t>Annual Leave - half day</t>
  </si>
  <si>
    <t>RMB</t>
  </si>
  <si>
    <t>Discovery Innovation Lab</t>
  </si>
  <si>
    <t>Conekt – Aurum</t>
  </si>
  <si>
    <t>Assimil8</t>
  </si>
  <si>
    <t>Blue Legacy</t>
  </si>
  <si>
    <t>Resham</t>
  </si>
  <si>
    <t>Meeting with Clement Tshivhase and the team</t>
  </si>
  <si>
    <t>Continued with the Udemy Pytthon for beginners</t>
  </si>
  <si>
    <t xml:space="preserve">Meeting with Clement Tshivhase and the team discussed the Udemy Python course </t>
  </si>
  <si>
    <t>Meeting with Clement Tshivhase and the team discussed the Udemy Python course</t>
  </si>
  <si>
    <t xml:space="preserve"> Meeting with Clement Tshivhase, Bongani Mondlane and the team</t>
  </si>
  <si>
    <t>Meeting with Bongani Mondlane and the team to discussed the Udemy Python course</t>
  </si>
  <si>
    <t xml:space="preserve">Continued with the Udemy Pytthon for beginners </t>
  </si>
  <si>
    <t>Continued with the Udemy Python course</t>
  </si>
  <si>
    <t>Started the Udemy GitHub Action course</t>
  </si>
  <si>
    <t>Continued the Udemy GitHub Action course</t>
  </si>
  <si>
    <t xml:space="preserve">Had a meeting with the team and disscused the Udemy Python course </t>
  </si>
  <si>
    <t>Traveled to Montecasino to attend the Sambe Comedy night</t>
  </si>
  <si>
    <t>Started with the Sales Analysis Project</t>
  </si>
  <si>
    <t>Continued working on the Sales Analysis Project</t>
  </si>
  <si>
    <t>Continued working on the Sales Analysis  Project</t>
  </si>
  <si>
    <t>Meeting with Bongani Mondlane and the team to discussed the Sales Analysis Project</t>
  </si>
  <si>
    <t>Continued working with Sales Analysis Project</t>
  </si>
  <si>
    <t>Meeting with Clement Tshivhase and the team to discuss the Project</t>
  </si>
  <si>
    <t>Continued working on the Sales Analysis project</t>
  </si>
  <si>
    <t>Continued  working on Sales Analysis project</t>
  </si>
  <si>
    <t>Meeting with Clement Tshivhase and the team and discussed the Sales Analysis Project</t>
  </si>
  <si>
    <t xml:space="preserve">Meeting with Bongani Mondlane, Clement Tshivhase  and the team </t>
  </si>
  <si>
    <t>Meeting with Clement Tshivhase and the team discuessed the Udemy  GitHub  Actions course</t>
  </si>
  <si>
    <t xml:space="preserve">Meeting with Clement Tshivhase and the team </t>
  </si>
  <si>
    <t>Meeting with Bongani Mondlane and the team to discussed the Udemy  GitHub Actions course</t>
  </si>
  <si>
    <t>Thugthrsday</t>
  </si>
  <si>
    <t xml:space="preserve">One on one meeting with Bongani Mondlane </t>
  </si>
  <si>
    <t>Meeting with Clement Tshivhase and the team and did a group presentation practice</t>
  </si>
  <si>
    <t>Meeting with the team to prepare for data Sales Analysis project presentation</t>
  </si>
  <si>
    <t xml:space="preserve">Continued with the Udemy GitHub Action course </t>
  </si>
  <si>
    <t>Meeting with Bongani Mondlane, and the team</t>
  </si>
  <si>
    <t>Revision on the Udemy GitHub Action course and continued with the side project</t>
  </si>
  <si>
    <t>Revision on the Udemy GitHub Action course and start a simple side project</t>
  </si>
  <si>
    <t>Started the Udemy  Database Admin course</t>
  </si>
  <si>
    <t>Did a few edits on my dashboard and reports</t>
  </si>
  <si>
    <t xml:space="preserve">Continued with the Udemy Database Admin course </t>
  </si>
  <si>
    <t>Meeting with Bongani Mondlane and the team to present the Sales Analysis Project</t>
  </si>
  <si>
    <t>Meeting with Clement Tshivhase and the team and presented the Sales Analysis Project</t>
  </si>
  <si>
    <t>Continued with the Udemy Database Admin course</t>
  </si>
  <si>
    <t xml:space="preserve">Sales Analysis Presentation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</si>
</sst>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20" fontId="4" fillId="0" borderId="0" xfId="0" applyNumberFormat="1" applyFont="1"/>
    <xf numFmtId="15" fontId="12" fillId="0" borderId="0" xfId="0" applyNumberFormat="1" applyFont="1" applyAlignment="1">
      <alignment vertical="center"/>
    </xf>
    <xf numFmtId="15" fontId="12" fillId="0" borderId="0" xfId="0" applyNumberFormat="1" applyFont="1" applyAlignment="1">
      <alignment vertical="center" wrapText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542209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4449" cy="58158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3:J141"/>
  <sheetViews>
    <sheetView tabSelected="1" view="pageBreakPreview" zoomScale="60" zoomScaleNormal="75" workbookViewId="0">
      <selection activeCell="C9" sqref="C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3" spans="1:10" x14ac:dyDescent="0.2">
      <c r="F3" s="64"/>
      <c r="G3" s="64"/>
    </row>
    <row r="4" spans="1:10" x14ac:dyDescent="0.2">
      <c r="H4" s="64"/>
    </row>
    <row r="5" spans="1:10" x14ac:dyDescent="0.2">
      <c r="A5" s="37" t="s">
        <v>2</v>
      </c>
      <c r="B5" s="23" t="s">
        <v>207</v>
      </c>
      <c r="H5" s="65"/>
    </row>
    <row r="6" spans="1:10" x14ac:dyDescent="0.2">
      <c r="A6" s="37" t="s">
        <v>93</v>
      </c>
      <c r="B6" s="72">
        <f>F136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ht="25.2" x14ac:dyDescent="0.2">
      <c r="A9" s="22">
        <v>46113</v>
      </c>
      <c r="B9" s="22" t="s">
        <v>19</v>
      </c>
      <c r="C9" s="27" t="s">
        <v>125</v>
      </c>
      <c r="D9" s="27"/>
      <c r="E9" s="27" t="s">
        <v>33</v>
      </c>
      <c r="F9" s="27" t="s">
        <v>15</v>
      </c>
      <c r="G9" s="28" t="s">
        <v>222</v>
      </c>
      <c r="H9" s="29">
        <f t="shared" ref="H9:H13" si="0">J9-I9</f>
        <v>0.11319444444444443</v>
      </c>
      <c r="I9" s="30">
        <v>0.34513888888888888</v>
      </c>
      <c r="J9" s="30">
        <v>0.45833333333333331</v>
      </c>
    </row>
    <row r="10" spans="1:10" ht="37.799999999999997" x14ac:dyDescent="0.2">
      <c r="A10" s="22">
        <v>46113</v>
      </c>
      <c r="B10" s="22" t="s">
        <v>19</v>
      </c>
      <c r="C10" s="27" t="s">
        <v>125</v>
      </c>
      <c r="D10" s="27"/>
      <c r="E10" s="27" t="s">
        <v>62</v>
      </c>
      <c r="F10" s="27" t="s">
        <v>15</v>
      </c>
      <c r="G10" s="28" t="s">
        <v>223</v>
      </c>
      <c r="H10" s="29">
        <f t="shared" si="0"/>
        <v>2.5000000000000022E-2</v>
      </c>
      <c r="I10" s="30">
        <v>0.45833333333333331</v>
      </c>
      <c r="J10" s="30">
        <v>0.48333333333333334</v>
      </c>
    </row>
    <row r="11" spans="1:10" ht="25.2" x14ac:dyDescent="0.2">
      <c r="A11" s="22">
        <v>46113</v>
      </c>
      <c r="B11" s="22" t="s">
        <v>19</v>
      </c>
      <c r="C11" s="27" t="s">
        <v>125</v>
      </c>
      <c r="D11" s="27"/>
      <c r="E11" s="27" t="s">
        <v>33</v>
      </c>
      <c r="F11" s="27" t="s">
        <v>15</v>
      </c>
      <c r="G11" s="28" t="s">
        <v>222</v>
      </c>
      <c r="H11" s="29">
        <f t="shared" si="0"/>
        <v>2.0138888888888873E-2</v>
      </c>
      <c r="I11" s="30">
        <v>0.48333333333333334</v>
      </c>
      <c r="J11" s="30">
        <v>0.50347222222222221</v>
      </c>
    </row>
    <row r="12" spans="1:10" ht="25.2" x14ac:dyDescent="0.2">
      <c r="A12" s="22">
        <v>46113</v>
      </c>
      <c r="B12" s="22" t="s">
        <v>19</v>
      </c>
      <c r="C12" s="27" t="s">
        <v>125</v>
      </c>
      <c r="D12" s="27"/>
      <c r="E12" s="27" t="s">
        <v>33</v>
      </c>
      <c r="F12" s="27" t="s">
        <v>15</v>
      </c>
      <c r="G12" s="28" t="s">
        <v>222</v>
      </c>
      <c r="H12" s="29">
        <f t="shared" si="0"/>
        <v>0.12847222222222221</v>
      </c>
      <c r="I12" s="30">
        <v>0.53819444444444442</v>
      </c>
      <c r="J12" s="30">
        <v>0.66666666666666663</v>
      </c>
    </row>
    <row r="13" spans="1:10" ht="37.799999999999997" x14ac:dyDescent="0.2">
      <c r="A13" s="22">
        <v>46113</v>
      </c>
      <c r="B13" s="22" t="s">
        <v>19</v>
      </c>
      <c r="C13" s="27" t="s">
        <v>125</v>
      </c>
      <c r="D13" s="27"/>
      <c r="E13" s="27" t="s">
        <v>62</v>
      </c>
      <c r="F13" s="27" t="s">
        <v>15</v>
      </c>
      <c r="G13" s="28" t="s">
        <v>226</v>
      </c>
      <c r="H13" s="29">
        <f t="shared" si="0"/>
        <v>7.9166666666666718E-2</v>
      </c>
      <c r="I13" s="30">
        <v>0.66666666666666663</v>
      </c>
      <c r="J13" s="30">
        <v>0.74583333333333335</v>
      </c>
    </row>
    <row r="14" spans="1:10" ht="25.2" x14ac:dyDescent="0.2">
      <c r="A14" s="22">
        <v>46114</v>
      </c>
      <c r="B14" s="22" t="s">
        <v>20</v>
      </c>
      <c r="C14" s="27" t="s">
        <v>125</v>
      </c>
      <c r="D14" s="27"/>
      <c r="E14" s="27" t="s">
        <v>62</v>
      </c>
      <c r="F14" s="27" t="s">
        <v>15</v>
      </c>
      <c r="G14" s="28" t="s">
        <v>221</v>
      </c>
      <c r="H14" s="29">
        <f t="shared" ref="H14:H131" si="1">J14-I14</f>
        <v>6.9444444444444753E-3</v>
      </c>
      <c r="I14" s="30">
        <v>0.33333333333333331</v>
      </c>
      <c r="J14" s="30">
        <v>0.34027777777777779</v>
      </c>
    </row>
    <row r="15" spans="1:10" ht="25.2" x14ac:dyDescent="0.2">
      <c r="A15" s="22">
        <v>46114</v>
      </c>
      <c r="B15" s="22" t="s">
        <v>20</v>
      </c>
      <c r="C15" s="27" t="s">
        <v>125</v>
      </c>
      <c r="D15" s="27"/>
      <c r="E15" s="27" t="s">
        <v>33</v>
      </c>
      <c r="F15" s="27" t="s">
        <v>15</v>
      </c>
      <c r="G15" s="28" t="s">
        <v>222</v>
      </c>
      <c r="H15" s="29">
        <f t="shared" si="1"/>
        <v>0.11805555555555552</v>
      </c>
      <c r="I15" s="30">
        <v>0.34027777777777779</v>
      </c>
      <c r="J15" s="30">
        <v>0.45833333333333331</v>
      </c>
    </row>
    <row r="16" spans="1:10" ht="37.799999999999997" x14ac:dyDescent="0.2">
      <c r="A16" s="22">
        <v>46114</v>
      </c>
      <c r="B16" s="22" t="s">
        <v>20</v>
      </c>
      <c r="C16" s="27" t="s">
        <v>125</v>
      </c>
      <c r="D16" s="27"/>
      <c r="E16" s="27" t="s">
        <v>62</v>
      </c>
      <c r="F16" s="27" t="s">
        <v>15</v>
      </c>
      <c r="G16" s="28" t="s">
        <v>224</v>
      </c>
      <c r="H16" s="29">
        <f t="shared" si="1"/>
        <v>3.5416666666666707E-2</v>
      </c>
      <c r="I16" s="30">
        <v>0.45833333333333331</v>
      </c>
      <c r="J16" s="30">
        <v>0.49375000000000002</v>
      </c>
    </row>
    <row r="17" spans="1:10" ht="25.2" x14ac:dyDescent="0.2">
      <c r="A17" s="22">
        <v>46114</v>
      </c>
      <c r="B17" s="22" t="s">
        <v>20</v>
      </c>
      <c r="C17" s="27" t="s">
        <v>125</v>
      </c>
      <c r="D17" s="27"/>
      <c r="E17" s="27" t="s">
        <v>33</v>
      </c>
      <c r="F17" s="27" t="s">
        <v>15</v>
      </c>
      <c r="G17" s="28" t="s">
        <v>222</v>
      </c>
      <c r="H17" s="29">
        <f t="shared" si="1"/>
        <v>2.8472222222222232E-2</v>
      </c>
      <c r="I17" s="30">
        <v>0.49375000000000002</v>
      </c>
      <c r="J17" s="30">
        <v>0.52222222222222225</v>
      </c>
    </row>
    <row r="18" spans="1:10" ht="25.2" x14ac:dyDescent="0.2">
      <c r="A18" s="22">
        <v>46114</v>
      </c>
      <c r="B18" s="22" t="s">
        <v>20</v>
      </c>
      <c r="C18" s="27" t="s">
        <v>125</v>
      </c>
      <c r="D18" s="27"/>
      <c r="E18" s="27" t="s">
        <v>33</v>
      </c>
      <c r="F18" s="27" t="s">
        <v>15</v>
      </c>
      <c r="G18" s="28" t="s">
        <v>222</v>
      </c>
      <c r="H18" s="29">
        <f t="shared" si="1"/>
        <v>0.10555555555555551</v>
      </c>
      <c r="I18" s="30">
        <v>0.56111111111111112</v>
      </c>
      <c r="J18" s="30">
        <v>0.66666666666666663</v>
      </c>
    </row>
    <row r="19" spans="1:10" ht="25.2" x14ac:dyDescent="0.2">
      <c r="A19" s="22">
        <v>46114</v>
      </c>
      <c r="B19" s="22" t="s">
        <v>20</v>
      </c>
      <c r="C19" s="27" t="s">
        <v>125</v>
      </c>
      <c r="D19" s="27"/>
      <c r="E19" s="27" t="s">
        <v>62</v>
      </c>
      <c r="F19" s="27" t="s">
        <v>15</v>
      </c>
      <c r="G19" s="28" t="s">
        <v>225</v>
      </c>
      <c r="H19" s="29">
        <f t="shared" si="1"/>
        <v>4.9305555555555602E-2</v>
      </c>
      <c r="I19" s="30">
        <v>0.66666666666666663</v>
      </c>
      <c r="J19" s="30">
        <v>0.71597222222222223</v>
      </c>
    </row>
    <row r="20" spans="1:10" x14ac:dyDescent="0.2">
      <c r="A20" s="47">
        <v>46115</v>
      </c>
      <c r="B20" s="47" t="s">
        <v>11</v>
      </c>
      <c r="C20" s="48" t="s">
        <v>125</v>
      </c>
      <c r="D20" s="48"/>
      <c r="E20" s="48" t="s">
        <v>89</v>
      </c>
      <c r="F20" s="48" t="s">
        <v>15</v>
      </c>
      <c r="G20" s="49" t="s">
        <v>177</v>
      </c>
      <c r="H20" s="50">
        <f t="shared" si="1"/>
        <v>0.33333333333333331</v>
      </c>
      <c r="I20" s="51">
        <v>0.33333333333333331</v>
      </c>
      <c r="J20" s="51">
        <v>0.66666666666666663</v>
      </c>
    </row>
    <row r="21" spans="1:10" x14ac:dyDescent="0.2">
      <c r="A21" s="31">
        <v>46116</v>
      </c>
      <c r="B21" s="31" t="s">
        <v>14</v>
      </c>
      <c r="C21" s="32"/>
      <c r="D21" s="32"/>
      <c r="E21" s="32"/>
      <c r="F21" s="32"/>
      <c r="G21" s="33"/>
      <c r="H21" s="34">
        <f t="shared" ref="H21" si="2">J21-I21</f>
        <v>0</v>
      </c>
      <c r="I21" s="35"/>
      <c r="J21" s="35"/>
    </row>
    <row r="22" spans="1:10" x14ac:dyDescent="0.2">
      <c r="A22" s="31">
        <v>46117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47">
        <v>46118</v>
      </c>
      <c r="B23" s="47" t="s">
        <v>17</v>
      </c>
      <c r="C23" s="48" t="s">
        <v>125</v>
      </c>
      <c r="D23" s="48"/>
      <c r="E23" s="48" t="s">
        <v>89</v>
      </c>
      <c r="F23" s="48" t="s">
        <v>15</v>
      </c>
      <c r="G23" s="49" t="s">
        <v>178</v>
      </c>
      <c r="H23" s="50">
        <f t="shared" ref="H23" si="3">J23-I23</f>
        <v>0.33333333333333331</v>
      </c>
      <c r="I23" s="51">
        <v>0.33333333333333331</v>
      </c>
      <c r="J23" s="51">
        <v>0.66666666666666663</v>
      </c>
    </row>
    <row r="24" spans="1:10" ht="25.2" x14ac:dyDescent="0.2">
      <c r="A24" s="22">
        <v>46119</v>
      </c>
      <c r="B24" s="22" t="s">
        <v>18</v>
      </c>
      <c r="C24" s="27" t="s">
        <v>125</v>
      </c>
      <c r="D24" s="27"/>
      <c r="E24" s="27" t="s">
        <v>62</v>
      </c>
      <c r="F24" s="27" t="s">
        <v>15</v>
      </c>
      <c r="G24" s="28" t="s">
        <v>221</v>
      </c>
      <c r="H24" s="29">
        <f t="shared" si="1"/>
        <v>6.9444444444444753E-3</v>
      </c>
      <c r="I24" s="30">
        <v>0.33333333333333331</v>
      </c>
      <c r="J24" s="30">
        <v>0.34027777777777779</v>
      </c>
    </row>
    <row r="25" spans="1:10" ht="25.2" x14ac:dyDescent="0.2">
      <c r="A25" s="22">
        <v>46119</v>
      </c>
      <c r="B25" s="22" t="s">
        <v>18</v>
      </c>
      <c r="C25" s="27" t="s">
        <v>125</v>
      </c>
      <c r="D25" s="27"/>
      <c r="E25" s="27" t="s">
        <v>33</v>
      </c>
      <c r="F25" s="27" t="s">
        <v>15</v>
      </c>
      <c r="G25" s="28" t="s">
        <v>222</v>
      </c>
      <c r="H25" s="29">
        <f t="shared" si="1"/>
        <v>0.11805555555555552</v>
      </c>
      <c r="I25" s="30">
        <v>0.34027777777777779</v>
      </c>
      <c r="J25" s="30">
        <v>0.45833333333333331</v>
      </c>
    </row>
    <row r="26" spans="1:10" ht="37.799999999999997" x14ac:dyDescent="0.2">
      <c r="A26" s="22">
        <v>46119</v>
      </c>
      <c r="B26" s="22" t="s">
        <v>18</v>
      </c>
      <c r="C26" s="27" t="s">
        <v>125</v>
      </c>
      <c r="D26" s="27"/>
      <c r="E26" s="27" t="s">
        <v>62</v>
      </c>
      <c r="F26" s="27" t="s">
        <v>15</v>
      </c>
      <c r="G26" s="28" t="s">
        <v>224</v>
      </c>
      <c r="H26" s="29">
        <f t="shared" si="1"/>
        <v>2.7083333333333348E-2</v>
      </c>
      <c r="I26" s="30">
        <v>0.45833333333333331</v>
      </c>
      <c r="J26" s="30">
        <v>0.48541666666666666</v>
      </c>
    </row>
    <row r="27" spans="1:10" ht="25.2" x14ac:dyDescent="0.2">
      <c r="A27" s="22">
        <v>46119</v>
      </c>
      <c r="B27" s="22" t="s">
        <v>18</v>
      </c>
      <c r="C27" s="27" t="s">
        <v>125</v>
      </c>
      <c r="D27" s="27"/>
      <c r="E27" s="27" t="s">
        <v>62</v>
      </c>
      <c r="F27" s="27" t="s">
        <v>15</v>
      </c>
      <c r="G27" s="28" t="s">
        <v>222</v>
      </c>
      <c r="H27" s="29">
        <f t="shared" si="1"/>
        <v>1.8055555555555547E-2</v>
      </c>
      <c r="I27" s="30">
        <v>0.48541666666666666</v>
      </c>
      <c r="J27" s="30">
        <v>0.50347222222222221</v>
      </c>
    </row>
    <row r="28" spans="1:10" ht="25.2" x14ac:dyDescent="0.2">
      <c r="A28" s="22">
        <v>46119</v>
      </c>
      <c r="B28" s="22" t="s">
        <v>18</v>
      </c>
      <c r="C28" s="27" t="s">
        <v>125</v>
      </c>
      <c r="D28" s="27"/>
      <c r="E28" s="27" t="s">
        <v>33</v>
      </c>
      <c r="F28" s="27" t="s">
        <v>15</v>
      </c>
      <c r="G28" s="28" t="s">
        <v>227</v>
      </c>
      <c r="H28" s="29">
        <f t="shared" si="1"/>
        <v>0.12847222222222221</v>
      </c>
      <c r="I28" s="30">
        <v>0.53819444444444442</v>
      </c>
      <c r="J28" s="30">
        <v>0.66666666666666663</v>
      </c>
    </row>
    <row r="29" spans="1:10" ht="37.799999999999997" x14ac:dyDescent="0.2">
      <c r="A29" s="22">
        <v>46119</v>
      </c>
      <c r="B29" s="22" t="s">
        <v>18</v>
      </c>
      <c r="C29" s="27" t="s">
        <v>125</v>
      </c>
      <c r="D29" s="27"/>
      <c r="E29" s="27" t="s">
        <v>62</v>
      </c>
      <c r="F29" s="27" t="s">
        <v>15</v>
      </c>
      <c r="G29" s="28" t="s">
        <v>226</v>
      </c>
      <c r="H29" s="29">
        <f t="shared" si="1"/>
        <v>5.7638888888888906E-2</v>
      </c>
      <c r="I29" s="30">
        <v>0.66666666666666663</v>
      </c>
      <c r="J29" s="30">
        <v>0.72430555555555554</v>
      </c>
    </row>
    <row r="30" spans="1:10" ht="25.2" x14ac:dyDescent="0.2">
      <c r="A30" s="22">
        <v>46120</v>
      </c>
      <c r="B30" s="22" t="s">
        <v>19</v>
      </c>
      <c r="C30" s="27" t="s">
        <v>125</v>
      </c>
      <c r="D30" s="27"/>
      <c r="E30" s="27" t="s">
        <v>62</v>
      </c>
      <c r="F30" s="27" t="s">
        <v>15</v>
      </c>
      <c r="G30" s="28" t="s">
        <v>221</v>
      </c>
      <c r="H30" s="29">
        <f t="shared" si="1"/>
        <v>7.6388888888889173E-3</v>
      </c>
      <c r="I30" s="30">
        <v>0.33333333333333331</v>
      </c>
      <c r="J30" s="30">
        <v>0.34097222222222223</v>
      </c>
    </row>
    <row r="31" spans="1:10" ht="25.2" x14ac:dyDescent="0.2">
      <c r="A31" s="22">
        <v>46120</v>
      </c>
      <c r="B31" s="22" t="s">
        <v>19</v>
      </c>
      <c r="C31" s="27" t="s">
        <v>125</v>
      </c>
      <c r="D31" s="27"/>
      <c r="E31" s="27" t="s">
        <v>33</v>
      </c>
      <c r="F31" s="27" t="s">
        <v>15</v>
      </c>
      <c r="G31" s="28" t="s">
        <v>222</v>
      </c>
      <c r="H31" s="29">
        <f t="shared" si="1"/>
        <v>0.11736111111111108</v>
      </c>
      <c r="I31" s="30">
        <v>0.34097222222222223</v>
      </c>
      <c r="J31" s="30">
        <v>0.45833333333333331</v>
      </c>
    </row>
    <row r="32" spans="1:10" ht="37.799999999999997" x14ac:dyDescent="0.2">
      <c r="A32" s="22">
        <v>46120</v>
      </c>
      <c r="B32" s="22" t="s">
        <v>19</v>
      </c>
      <c r="C32" s="27" t="s">
        <v>125</v>
      </c>
      <c r="D32" s="27"/>
      <c r="E32" s="27" t="s">
        <v>62</v>
      </c>
      <c r="F32" s="27" t="s">
        <v>15</v>
      </c>
      <c r="G32" s="28" t="s">
        <v>224</v>
      </c>
      <c r="H32" s="29">
        <f t="shared" si="1"/>
        <v>3.2638888888888884E-2</v>
      </c>
      <c r="I32" s="30">
        <v>0.45833333333333331</v>
      </c>
      <c r="J32" s="30">
        <v>0.4909722222222222</v>
      </c>
    </row>
    <row r="33" spans="1:10" ht="25.2" x14ac:dyDescent="0.2">
      <c r="A33" s="22">
        <v>46120</v>
      </c>
      <c r="B33" s="22" t="s">
        <v>19</v>
      </c>
      <c r="C33" s="27" t="s">
        <v>125</v>
      </c>
      <c r="D33" s="27"/>
      <c r="E33" s="27" t="s">
        <v>33</v>
      </c>
      <c r="F33" s="27" t="s">
        <v>15</v>
      </c>
      <c r="G33" s="28" t="s">
        <v>228</v>
      </c>
      <c r="H33" s="29">
        <f t="shared" si="1"/>
        <v>1.5972222222222221E-2</v>
      </c>
      <c r="I33" s="30">
        <v>0.4909722222222222</v>
      </c>
      <c r="J33" s="30">
        <v>0.50694444444444442</v>
      </c>
    </row>
    <row r="34" spans="1:10" ht="25.2" x14ac:dyDescent="0.2">
      <c r="A34" s="22">
        <v>46120</v>
      </c>
      <c r="B34" s="22" t="s">
        <v>19</v>
      </c>
      <c r="C34" s="27" t="s">
        <v>125</v>
      </c>
      <c r="D34" s="27"/>
      <c r="E34" s="27" t="s">
        <v>33</v>
      </c>
      <c r="F34" s="27" t="s">
        <v>15</v>
      </c>
      <c r="G34" s="28" t="s">
        <v>222</v>
      </c>
      <c r="H34" s="29">
        <f t="shared" si="1"/>
        <v>0.11805555555555547</v>
      </c>
      <c r="I34" s="30">
        <v>0.54861111111111116</v>
      </c>
      <c r="J34" s="30">
        <v>0.66666666666666663</v>
      </c>
    </row>
    <row r="35" spans="1:10" ht="37.799999999999997" x14ac:dyDescent="0.2">
      <c r="A35" s="22">
        <v>46120</v>
      </c>
      <c r="B35" s="22" t="s">
        <v>19</v>
      </c>
      <c r="C35" s="27" t="s">
        <v>125</v>
      </c>
      <c r="D35" s="27"/>
      <c r="E35" s="27" t="s">
        <v>62</v>
      </c>
      <c r="F35" s="27" t="s">
        <v>15</v>
      </c>
      <c r="G35" s="28" t="s">
        <v>226</v>
      </c>
      <c r="H35" s="29">
        <f t="shared" si="1"/>
        <v>2.2222222222222254E-2</v>
      </c>
      <c r="I35" s="30">
        <v>0.66666666666666663</v>
      </c>
      <c r="J35" s="30">
        <v>0.68888888888888888</v>
      </c>
    </row>
    <row r="36" spans="1:10" ht="25.2" x14ac:dyDescent="0.2">
      <c r="A36" s="22">
        <v>46120</v>
      </c>
      <c r="B36" s="22" t="s">
        <v>19</v>
      </c>
      <c r="C36" s="27" t="s">
        <v>125</v>
      </c>
      <c r="D36" s="27"/>
      <c r="E36" s="27" t="s">
        <v>33</v>
      </c>
      <c r="F36" s="27" t="s">
        <v>15</v>
      </c>
      <c r="G36" s="28" t="s">
        <v>222</v>
      </c>
      <c r="H36" s="29">
        <f t="shared" si="1"/>
        <v>2.9861111111111116E-2</v>
      </c>
      <c r="I36" s="30">
        <v>0.68888888888888888</v>
      </c>
      <c r="J36" s="30">
        <v>0.71875</v>
      </c>
    </row>
    <row r="37" spans="1:10" ht="25.2" x14ac:dyDescent="0.2">
      <c r="A37" s="22">
        <v>46121</v>
      </c>
      <c r="B37" s="22" t="s">
        <v>20</v>
      </c>
      <c r="C37" s="27" t="s">
        <v>125</v>
      </c>
      <c r="D37" s="27"/>
      <c r="E37" s="27" t="s">
        <v>62</v>
      </c>
      <c r="F37" s="27" t="s">
        <v>15</v>
      </c>
      <c r="G37" s="28" t="s">
        <v>221</v>
      </c>
      <c r="H37" s="29">
        <f t="shared" si="1"/>
        <v>4.1666666666667074E-3</v>
      </c>
      <c r="I37" s="30">
        <v>0.33333333333333331</v>
      </c>
      <c r="J37" s="30">
        <v>0.33750000000000002</v>
      </c>
    </row>
    <row r="38" spans="1:10" ht="25.2" x14ac:dyDescent="0.2">
      <c r="A38" s="22">
        <v>46121</v>
      </c>
      <c r="B38" s="22" t="s">
        <v>20</v>
      </c>
      <c r="C38" s="27" t="s">
        <v>125</v>
      </c>
      <c r="D38" s="27"/>
      <c r="E38" s="27" t="s">
        <v>33</v>
      </c>
      <c r="F38" s="27" t="s">
        <v>15</v>
      </c>
      <c r="G38" s="28" t="s">
        <v>229</v>
      </c>
      <c r="H38" s="29">
        <f t="shared" si="1"/>
        <v>0.12083333333333329</v>
      </c>
      <c r="I38" s="30">
        <v>0.33750000000000002</v>
      </c>
      <c r="J38" s="30">
        <v>0.45833333333333331</v>
      </c>
    </row>
    <row r="39" spans="1:10" ht="37.799999999999997" x14ac:dyDescent="0.2">
      <c r="A39" s="22">
        <v>46121</v>
      </c>
      <c r="B39" s="22" t="s">
        <v>20</v>
      </c>
      <c r="C39" s="27" t="s">
        <v>125</v>
      </c>
      <c r="D39" s="27"/>
      <c r="E39" s="27" t="s">
        <v>62</v>
      </c>
      <c r="F39" s="27" t="s">
        <v>15</v>
      </c>
      <c r="G39" s="28" t="s">
        <v>226</v>
      </c>
      <c r="H39" s="29">
        <f t="shared" si="1"/>
        <v>3.6805555555555591E-2</v>
      </c>
      <c r="I39" s="30">
        <v>0.45833333333333331</v>
      </c>
      <c r="J39" s="30">
        <v>0.49513888888888891</v>
      </c>
    </row>
    <row r="40" spans="1:10" ht="25.2" x14ac:dyDescent="0.2">
      <c r="A40" s="22">
        <v>46121</v>
      </c>
      <c r="B40" s="22" t="s">
        <v>20</v>
      </c>
      <c r="C40" s="27" t="s">
        <v>125</v>
      </c>
      <c r="D40" s="27"/>
      <c r="E40" s="27" t="s">
        <v>33</v>
      </c>
      <c r="F40" s="27" t="s">
        <v>15</v>
      </c>
      <c r="G40" s="28" t="s">
        <v>230</v>
      </c>
      <c r="H40" s="29">
        <f t="shared" si="1"/>
        <v>0.125</v>
      </c>
      <c r="I40" s="30">
        <v>0.54166666666666663</v>
      </c>
      <c r="J40" s="30">
        <v>0.66666666666666663</v>
      </c>
    </row>
    <row r="41" spans="1:10" ht="37.799999999999997" x14ac:dyDescent="0.2">
      <c r="A41" s="22">
        <v>46121</v>
      </c>
      <c r="B41" s="22" t="s">
        <v>20</v>
      </c>
      <c r="C41" s="27" t="s">
        <v>125</v>
      </c>
      <c r="D41" s="27"/>
      <c r="E41" s="27" t="s">
        <v>33</v>
      </c>
      <c r="F41" s="27" t="s">
        <v>15</v>
      </c>
      <c r="G41" s="28" t="s">
        <v>226</v>
      </c>
      <c r="H41" s="29">
        <f t="shared" si="1"/>
        <v>5.208333333333337E-2</v>
      </c>
      <c r="I41" s="30">
        <v>0.66666666666666663</v>
      </c>
      <c r="J41" s="30">
        <v>0.71875</v>
      </c>
    </row>
    <row r="42" spans="1:10" ht="25.2" x14ac:dyDescent="0.2">
      <c r="A42" s="22">
        <v>46122</v>
      </c>
      <c r="B42" s="22" t="s">
        <v>11</v>
      </c>
      <c r="C42" s="27" t="s">
        <v>125</v>
      </c>
      <c r="D42" s="27"/>
      <c r="E42" s="27" t="s">
        <v>62</v>
      </c>
      <c r="F42" s="27" t="s">
        <v>15</v>
      </c>
      <c r="G42" s="28" t="s">
        <v>221</v>
      </c>
      <c r="H42" s="29">
        <f t="shared" si="1"/>
        <v>4.8611111111111494E-3</v>
      </c>
      <c r="I42" s="30">
        <v>0.33333333333333331</v>
      </c>
      <c r="J42" s="30">
        <v>0.33819444444444446</v>
      </c>
    </row>
    <row r="43" spans="1:10" ht="25.2" x14ac:dyDescent="0.2">
      <c r="A43" s="22">
        <v>46122</v>
      </c>
      <c r="B43" s="22" t="s">
        <v>11</v>
      </c>
      <c r="C43" s="27" t="s">
        <v>125</v>
      </c>
      <c r="D43" s="27"/>
      <c r="E43" s="27" t="s">
        <v>33</v>
      </c>
      <c r="F43" s="27" t="s">
        <v>15</v>
      </c>
      <c r="G43" s="28" t="s">
        <v>230</v>
      </c>
      <c r="H43" s="29">
        <f t="shared" si="1"/>
        <v>0.12013888888888885</v>
      </c>
      <c r="I43" s="30">
        <v>0.33819444444444446</v>
      </c>
      <c r="J43" s="30">
        <v>0.45833333333333331</v>
      </c>
    </row>
    <row r="44" spans="1:10" ht="25.2" x14ac:dyDescent="0.2">
      <c r="A44" s="22">
        <v>46122</v>
      </c>
      <c r="B44" s="22" t="s">
        <v>11</v>
      </c>
      <c r="C44" s="27" t="s">
        <v>125</v>
      </c>
      <c r="D44" s="27"/>
      <c r="E44" s="27" t="s">
        <v>62</v>
      </c>
      <c r="F44" s="27" t="s">
        <v>15</v>
      </c>
      <c r="G44" s="28" t="s">
        <v>231</v>
      </c>
      <c r="H44" s="29">
        <f t="shared" si="1"/>
        <v>3.2638888888888884E-2</v>
      </c>
      <c r="I44" s="30">
        <v>0.45833333333333331</v>
      </c>
      <c r="J44" s="30">
        <v>0.4909722222222222</v>
      </c>
    </row>
    <row r="45" spans="1:10" ht="25.2" x14ac:dyDescent="0.2">
      <c r="A45" s="22">
        <v>46122</v>
      </c>
      <c r="B45" s="22" t="s">
        <v>11</v>
      </c>
      <c r="C45" s="27" t="s">
        <v>125</v>
      </c>
      <c r="D45" s="27"/>
      <c r="E45" s="27" t="s">
        <v>56</v>
      </c>
      <c r="F45" s="27" t="s">
        <v>15</v>
      </c>
      <c r="G45" s="28" t="s">
        <v>232</v>
      </c>
      <c r="H45" s="29">
        <f t="shared" si="1"/>
        <v>0.22847222222222224</v>
      </c>
      <c r="I45" s="30">
        <v>0.4909722222222222</v>
      </c>
      <c r="J45" s="30">
        <v>0.71944444444444444</v>
      </c>
    </row>
    <row r="46" spans="1:10" x14ac:dyDescent="0.2">
      <c r="A46" s="31">
        <v>46123</v>
      </c>
      <c r="B46" s="31" t="s">
        <v>14</v>
      </c>
      <c r="C46" s="32"/>
      <c r="D46" s="32"/>
      <c r="E46" s="32"/>
      <c r="F46" s="32"/>
      <c r="G46" s="33"/>
      <c r="H46" s="34">
        <f t="shared" si="1"/>
        <v>0</v>
      </c>
      <c r="I46" s="35"/>
      <c r="J46" s="35"/>
    </row>
    <row r="47" spans="1:10" x14ac:dyDescent="0.2">
      <c r="A47" s="31">
        <v>46124</v>
      </c>
      <c r="B47" s="31" t="s">
        <v>16</v>
      </c>
      <c r="C47" s="32"/>
      <c r="D47" s="32"/>
      <c r="E47" s="32"/>
      <c r="F47" s="32"/>
      <c r="G47" s="33"/>
      <c r="H47" s="34">
        <f t="shared" si="1"/>
        <v>0</v>
      </c>
      <c r="I47" s="35"/>
      <c r="J47" s="35"/>
    </row>
    <row r="48" spans="1:10" ht="25.2" x14ac:dyDescent="0.2">
      <c r="A48" s="22">
        <v>46125</v>
      </c>
      <c r="B48" s="22" t="s">
        <v>17</v>
      </c>
      <c r="C48" s="27" t="s">
        <v>125</v>
      </c>
      <c r="D48" s="27"/>
      <c r="E48" s="27" t="s">
        <v>62</v>
      </c>
      <c r="F48" s="27" t="s">
        <v>15</v>
      </c>
      <c r="G48" s="28" t="s">
        <v>221</v>
      </c>
      <c r="H48" s="29">
        <f t="shared" si="1"/>
        <v>7.6388888888889173E-3</v>
      </c>
      <c r="I48" s="30">
        <v>0.33333333333333331</v>
      </c>
      <c r="J48" s="30">
        <v>0.34097222222222223</v>
      </c>
    </row>
    <row r="49" spans="1:10" ht="25.2" x14ac:dyDescent="0.2">
      <c r="A49" s="22">
        <v>46125</v>
      </c>
      <c r="B49" s="22" t="s">
        <v>17</v>
      </c>
      <c r="C49" s="27" t="s">
        <v>125</v>
      </c>
      <c r="D49" s="27"/>
      <c r="E49" s="27" t="s">
        <v>33</v>
      </c>
      <c r="F49" s="27" t="s">
        <v>15</v>
      </c>
      <c r="G49" s="28" t="s">
        <v>233</v>
      </c>
      <c r="H49" s="29">
        <f t="shared" si="1"/>
        <v>0.11736111111111108</v>
      </c>
      <c r="I49" s="30">
        <v>0.34097222222222223</v>
      </c>
      <c r="J49" s="30">
        <v>0.45833333333333331</v>
      </c>
    </row>
    <row r="50" spans="1:10" ht="25.2" x14ac:dyDescent="0.2">
      <c r="A50" s="22">
        <v>46125</v>
      </c>
      <c r="B50" s="22" t="s">
        <v>17</v>
      </c>
      <c r="C50" s="27" t="s">
        <v>125</v>
      </c>
      <c r="D50" s="27"/>
      <c r="E50" s="27" t="s">
        <v>62</v>
      </c>
      <c r="F50" s="27" t="s">
        <v>15</v>
      </c>
      <c r="G50" s="28" t="s">
        <v>221</v>
      </c>
      <c r="H50" s="29">
        <f t="shared" si="1"/>
        <v>2.2222222222222254E-2</v>
      </c>
      <c r="I50" s="30">
        <v>0.45833333333333331</v>
      </c>
      <c r="J50" s="30">
        <v>0.48055555555555557</v>
      </c>
    </row>
    <row r="51" spans="1:10" ht="25.2" x14ac:dyDescent="0.2">
      <c r="A51" s="22">
        <v>46125</v>
      </c>
      <c r="B51" s="22" t="s">
        <v>17</v>
      </c>
      <c r="C51" s="27" t="s">
        <v>125</v>
      </c>
      <c r="D51" s="27"/>
      <c r="E51" s="27" t="s">
        <v>33</v>
      </c>
      <c r="F51" s="27" t="s">
        <v>15</v>
      </c>
      <c r="G51" s="28" t="s">
        <v>234</v>
      </c>
      <c r="H51" s="29">
        <f t="shared" si="1"/>
        <v>2.6388888888888851E-2</v>
      </c>
      <c r="I51" s="30">
        <v>0.48055555555555557</v>
      </c>
      <c r="J51" s="30">
        <v>0.50694444444444442</v>
      </c>
    </row>
    <row r="52" spans="1:10" ht="25.2" x14ac:dyDescent="0.2">
      <c r="A52" s="22">
        <v>46125</v>
      </c>
      <c r="B52" s="22" t="s">
        <v>17</v>
      </c>
      <c r="C52" s="27" t="s">
        <v>125</v>
      </c>
      <c r="D52" s="27"/>
      <c r="E52" s="27" t="s">
        <v>33</v>
      </c>
      <c r="F52" s="27" t="s">
        <v>15</v>
      </c>
      <c r="G52" s="28" t="s">
        <v>235</v>
      </c>
      <c r="H52" s="29">
        <f t="shared" si="1"/>
        <v>0.11805555555555547</v>
      </c>
      <c r="I52" s="30">
        <v>0.54861111111111116</v>
      </c>
      <c r="J52" s="30">
        <v>0.66666666666666663</v>
      </c>
    </row>
    <row r="53" spans="1:10" ht="37.799999999999997" x14ac:dyDescent="0.2">
      <c r="A53" s="22">
        <v>46125</v>
      </c>
      <c r="B53" s="22" t="s">
        <v>17</v>
      </c>
      <c r="C53" s="27" t="s">
        <v>125</v>
      </c>
      <c r="D53" s="27"/>
      <c r="E53" s="27" t="s">
        <v>33</v>
      </c>
      <c r="F53" s="27" t="s">
        <v>15</v>
      </c>
      <c r="G53" s="28" t="s">
        <v>236</v>
      </c>
      <c r="H53" s="29">
        <f t="shared" si="1"/>
        <v>4.3055555555555625E-2</v>
      </c>
      <c r="I53" s="30">
        <v>0.66666666666666663</v>
      </c>
      <c r="J53" s="30">
        <v>0.70972222222222225</v>
      </c>
    </row>
    <row r="54" spans="1:10" ht="25.2" x14ac:dyDescent="0.2">
      <c r="A54" s="22">
        <v>46126</v>
      </c>
      <c r="B54" s="22" t="s">
        <v>18</v>
      </c>
      <c r="C54" s="27" t="s">
        <v>125</v>
      </c>
      <c r="D54" s="27"/>
      <c r="E54" s="27" t="s">
        <v>62</v>
      </c>
      <c r="F54" s="27" t="s">
        <v>15</v>
      </c>
      <c r="G54" s="28" t="s">
        <v>221</v>
      </c>
      <c r="H54" s="29">
        <f t="shared" si="1"/>
        <v>5.5555555555555913E-3</v>
      </c>
      <c r="I54" s="30">
        <v>0.33333333333333331</v>
      </c>
      <c r="J54" s="30">
        <v>0.33888888888888891</v>
      </c>
    </row>
    <row r="55" spans="1:10" ht="25.2" x14ac:dyDescent="0.2">
      <c r="A55" s="22">
        <v>46126</v>
      </c>
      <c r="B55" s="22" t="s">
        <v>18</v>
      </c>
      <c r="C55" s="27" t="s">
        <v>125</v>
      </c>
      <c r="D55" s="27"/>
      <c r="E55" s="27" t="s">
        <v>33</v>
      </c>
      <c r="F55" s="27" t="s">
        <v>15</v>
      </c>
      <c r="G55" s="28" t="s">
        <v>237</v>
      </c>
      <c r="H55" s="29">
        <f t="shared" si="1"/>
        <v>0.11944444444444441</v>
      </c>
      <c r="I55" s="30">
        <v>0.33888888888888891</v>
      </c>
      <c r="J55" s="30">
        <v>0.45833333333333331</v>
      </c>
    </row>
    <row r="56" spans="1:10" ht="25.2" x14ac:dyDescent="0.2">
      <c r="A56" s="22">
        <v>46126</v>
      </c>
      <c r="B56" s="22" t="s">
        <v>18</v>
      </c>
      <c r="C56" s="27" t="s">
        <v>125</v>
      </c>
      <c r="D56" s="27"/>
      <c r="E56" s="27" t="s">
        <v>62</v>
      </c>
      <c r="F56" s="27" t="s">
        <v>15</v>
      </c>
      <c r="G56" s="28" t="s">
        <v>238</v>
      </c>
      <c r="H56" s="29">
        <f t="shared" si="1"/>
        <v>2.8472222222222232E-2</v>
      </c>
      <c r="I56" s="30">
        <v>0.45833333333333331</v>
      </c>
      <c r="J56" s="30">
        <v>0.48680555555555555</v>
      </c>
    </row>
    <row r="57" spans="1:10" ht="25.2" x14ac:dyDescent="0.2">
      <c r="A57" s="22">
        <v>46126</v>
      </c>
      <c r="B57" s="22" t="s">
        <v>18</v>
      </c>
      <c r="C57" s="27" t="s">
        <v>125</v>
      </c>
      <c r="D57" s="27"/>
      <c r="E57" s="27" t="s">
        <v>33</v>
      </c>
      <c r="F57" s="27" t="s">
        <v>15</v>
      </c>
      <c r="G57" s="28" t="s">
        <v>239</v>
      </c>
      <c r="H57" s="29">
        <f t="shared" si="1"/>
        <v>3.8194444444444475E-2</v>
      </c>
      <c r="I57" s="30">
        <v>0.48680555555555555</v>
      </c>
      <c r="J57" s="30">
        <v>0.52500000000000002</v>
      </c>
    </row>
    <row r="58" spans="1:10" ht="25.2" x14ac:dyDescent="0.2">
      <c r="A58" s="22">
        <v>46126</v>
      </c>
      <c r="B58" s="22" t="s">
        <v>18</v>
      </c>
      <c r="C58" s="27" t="s">
        <v>125</v>
      </c>
      <c r="D58" s="27"/>
      <c r="E58" s="27" t="s">
        <v>33</v>
      </c>
      <c r="F58" s="27" t="s">
        <v>15</v>
      </c>
      <c r="G58" s="28" t="s">
        <v>239</v>
      </c>
      <c r="H58" s="29">
        <f>J58-I57</f>
        <v>0.17986111111111108</v>
      </c>
      <c r="I58" s="122">
        <v>0.56666666666666665</v>
      </c>
      <c r="J58" s="30">
        <v>0.66666666666666663</v>
      </c>
    </row>
    <row r="59" spans="1:10" ht="37.799999999999997" x14ac:dyDescent="0.2">
      <c r="A59" s="22">
        <v>46126</v>
      </c>
      <c r="B59" s="22" t="s">
        <v>18</v>
      </c>
      <c r="C59" s="27" t="s">
        <v>125</v>
      </c>
      <c r="D59" s="27"/>
      <c r="E59" s="27" t="s">
        <v>62</v>
      </c>
      <c r="F59" s="27" t="s">
        <v>15</v>
      </c>
      <c r="G59" s="28" t="s">
        <v>236</v>
      </c>
      <c r="H59" s="29">
        <f t="shared" si="1"/>
        <v>4.5138888888888951E-2</v>
      </c>
      <c r="I59" s="30">
        <v>0.66666666666666663</v>
      </c>
      <c r="J59" s="30">
        <v>0.71180555555555558</v>
      </c>
    </row>
    <row r="60" spans="1:10" ht="25.2" x14ac:dyDescent="0.2">
      <c r="A60" s="22">
        <v>46127</v>
      </c>
      <c r="B60" s="22" t="s">
        <v>19</v>
      </c>
      <c r="C60" s="27" t="s">
        <v>125</v>
      </c>
      <c r="D60" s="27"/>
      <c r="E60" s="27" t="s">
        <v>62</v>
      </c>
      <c r="F60" s="27" t="s">
        <v>15</v>
      </c>
      <c r="G60" s="28" t="s">
        <v>221</v>
      </c>
      <c r="H60" s="29">
        <f t="shared" si="1"/>
        <v>2.7777777777778234E-3</v>
      </c>
      <c r="I60" s="30">
        <v>0.33333333333333331</v>
      </c>
      <c r="J60" s="30">
        <v>0.33611111111111114</v>
      </c>
    </row>
    <row r="61" spans="1:10" ht="25.2" x14ac:dyDescent="0.2">
      <c r="A61" s="22">
        <v>46127</v>
      </c>
      <c r="B61" s="22" t="s">
        <v>19</v>
      </c>
      <c r="C61" s="27" t="s">
        <v>125</v>
      </c>
      <c r="D61" s="27"/>
      <c r="E61" s="27" t="s">
        <v>33</v>
      </c>
      <c r="F61" s="27" t="s">
        <v>15</v>
      </c>
      <c r="G61" s="28" t="s">
        <v>240</v>
      </c>
      <c r="H61" s="29">
        <f t="shared" si="1"/>
        <v>0.12222222222222218</v>
      </c>
      <c r="I61" s="30">
        <v>0.33611111111111114</v>
      </c>
      <c r="J61" s="30">
        <v>0.45833333333333331</v>
      </c>
    </row>
    <row r="62" spans="1:10" ht="37.799999999999997" x14ac:dyDescent="0.2">
      <c r="A62" s="22">
        <v>46127</v>
      </c>
      <c r="B62" s="22" t="s">
        <v>19</v>
      </c>
      <c r="C62" s="27" t="s">
        <v>125</v>
      </c>
      <c r="D62" s="27"/>
      <c r="E62" s="27" t="s">
        <v>62</v>
      </c>
      <c r="F62" s="27" t="s">
        <v>15</v>
      </c>
      <c r="G62" s="28" t="s">
        <v>241</v>
      </c>
      <c r="H62" s="29">
        <f t="shared" si="1"/>
        <v>2.083333333333337E-2</v>
      </c>
      <c r="I62" s="30">
        <v>0.45833333333333331</v>
      </c>
      <c r="J62" s="30">
        <v>0.47916666666666669</v>
      </c>
    </row>
    <row r="63" spans="1:10" ht="25.2" x14ac:dyDescent="0.2">
      <c r="A63" s="22">
        <v>46127</v>
      </c>
      <c r="B63" s="22" t="s">
        <v>19</v>
      </c>
      <c r="C63" s="27" t="s">
        <v>125</v>
      </c>
      <c r="D63" s="27"/>
      <c r="E63" s="27" t="s">
        <v>33</v>
      </c>
      <c r="F63" s="27" t="s">
        <v>15</v>
      </c>
      <c r="G63" s="28" t="s">
        <v>239</v>
      </c>
      <c r="H63" s="29">
        <f t="shared" si="1"/>
        <v>2.0833333333333315E-2</v>
      </c>
      <c r="I63" s="30">
        <v>0.47916666666666669</v>
      </c>
      <c r="J63" s="30">
        <v>0.5</v>
      </c>
    </row>
    <row r="64" spans="1:10" ht="25.2" x14ac:dyDescent="0.2">
      <c r="A64" s="22">
        <v>46127</v>
      </c>
      <c r="B64" s="22" t="s">
        <v>19</v>
      </c>
      <c r="C64" s="27" t="s">
        <v>125</v>
      </c>
      <c r="D64" s="27"/>
      <c r="E64" s="27" t="s">
        <v>33</v>
      </c>
      <c r="F64" s="27" t="s">
        <v>15</v>
      </c>
      <c r="G64" s="28" t="s">
        <v>239</v>
      </c>
      <c r="H64" s="29">
        <f t="shared" si="1"/>
        <v>0.125</v>
      </c>
      <c r="I64" s="30">
        <v>0.54166666666666663</v>
      </c>
      <c r="J64" s="30">
        <v>0.66666666666666663</v>
      </c>
    </row>
    <row r="65" spans="1:10" ht="37.799999999999997" x14ac:dyDescent="0.2">
      <c r="A65" s="22">
        <v>46127</v>
      </c>
      <c r="B65" s="22" t="s">
        <v>19</v>
      </c>
      <c r="C65" s="27" t="s">
        <v>125</v>
      </c>
      <c r="D65" s="27"/>
      <c r="E65" s="27" t="s">
        <v>62</v>
      </c>
      <c r="F65" s="27" t="s">
        <v>15</v>
      </c>
      <c r="G65" s="28" t="s">
        <v>236</v>
      </c>
      <c r="H65" s="29">
        <f t="shared" si="1"/>
        <v>7.986111111111116E-2</v>
      </c>
      <c r="I65" s="30">
        <v>0.66666666666666663</v>
      </c>
      <c r="J65" s="30">
        <v>0.74652777777777779</v>
      </c>
    </row>
    <row r="66" spans="1:10" ht="25.2" x14ac:dyDescent="0.2">
      <c r="A66" s="22">
        <v>46128</v>
      </c>
      <c r="B66" s="22" t="s">
        <v>20</v>
      </c>
      <c r="C66" s="27" t="s">
        <v>125</v>
      </c>
      <c r="D66" s="27"/>
      <c r="E66" s="27" t="s">
        <v>62</v>
      </c>
      <c r="F66" s="27" t="s">
        <v>15</v>
      </c>
      <c r="G66" s="28" t="s">
        <v>221</v>
      </c>
      <c r="H66" s="29">
        <f t="shared" si="1"/>
        <v>4.8611111111111494E-3</v>
      </c>
      <c r="I66" s="30">
        <v>0.33333333333333331</v>
      </c>
      <c r="J66" s="30">
        <v>0.33819444444444446</v>
      </c>
    </row>
    <row r="67" spans="1:10" ht="25.2" x14ac:dyDescent="0.2">
      <c r="A67" s="22">
        <v>46128</v>
      </c>
      <c r="B67" s="22" t="s">
        <v>20</v>
      </c>
      <c r="C67" s="27" t="s">
        <v>125</v>
      </c>
      <c r="D67" s="27"/>
      <c r="E67" s="27" t="s">
        <v>33</v>
      </c>
      <c r="F67" s="27" t="s">
        <v>15</v>
      </c>
      <c r="G67" s="28" t="s">
        <v>239</v>
      </c>
      <c r="H67" s="29">
        <f t="shared" si="1"/>
        <v>0.12013888888888885</v>
      </c>
      <c r="I67" s="30">
        <v>0.33819444444444446</v>
      </c>
      <c r="J67" s="30">
        <v>0.45833333333333331</v>
      </c>
    </row>
    <row r="68" spans="1:10" ht="37.799999999999997" x14ac:dyDescent="0.2">
      <c r="A68" s="22">
        <v>46128</v>
      </c>
      <c r="B68" s="22" t="s">
        <v>20</v>
      </c>
      <c r="C68" s="27" t="s">
        <v>125</v>
      </c>
      <c r="D68" s="27"/>
      <c r="E68" s="27" t="s">
        <v>62</v>
      </c>
      <c r="F68" s="27" t="s">
        <v>15</v>
      </c>
      <c r="G68" s="28" t="s">
        <v>241</v>
      </c>
      <c r="H68" s="29">
        <f t="shared" si="1"/>
        <v>2.6388888888888906E-2</v>
      </c>
      <c r="I68" s="30">
        <v>0.45833333333333331</v>
      </c>
      <c r="J68" s="30">
        <v>0.48472222222222222</v>
      </c>
    </row>
    <row r="69" spans="1:10" ht="25.2" x14ac:dyDescent="0.2">
      <c r="A69" s="22">
        <v>46128</v>
      </c>
      <c r="B69" s="22" t="s">
        <v>20</v>
      </c>
      <c r="C69" s="27" t="s">
        <v>125</v>
      </c>
      <c r="D69" s="27"/>
      <c r="E69" s="27" t="s">
        <v>33</v>
      </c>
      <c r="F69" s="27" t="s">
        <v>15</v>
      </c>
      <c r="G69" s="28" t="s">
        <v>239</v>
      </c>
      <c r="H69" s="29">
        <f t="shared" si="1"/>
        <v>1.5277777777777779E-2</v>
      </c>
      <c r="I69" s="30">
        <v>0.48472222222222222</v>
      </c>
      <c r="J69" s="30">
        <v>0.5</v>
      </c>
    </row>
    <row r="70" spans="1:10" ht="25.2" x14ac:dyDescent="0.2">
      <c r="A70" s="22">
        <v>46128</v>
      </c>
      <c r="B70" s="22" t="s">
        <v>20</v>
      </c>
      <c r="C70" s="27" t="s">
        <v>125</v>
      </c>
      <c r="D70" s="27"/>
      <c r="E70" s="27" t="s">
        <v>33</v>
      </c>
      <c r="F70" s="27" t="s">
        <v>15</v>
      </c>
      <c r="G70" s="28" t="s">
        <v>239</v>
      </c>
      <c r="H70" s="29">
        <f t="shared" si="1"/>
        <v>0.125</v>
      </c>
      <c r="I70" s="30">
        <v>0.54166666666666663</v>
      </c>
      <c r="J70" s="30">
        <v>0.66666666666666663</v>
      </c>
    </row>
    <row r="71" spans="1:10" ht="37.799999999999997" x14ac:dyDescent="0.2">
      <c r="A71" s="22">
        <v>46128</v>
      </c>
      <c r="B71" s="22" t="s">
        <v>20</v>
      </c>
      <c r="C71" s="27" t="s">
        <v>125</v>
      </c>
      <c r="D71" s="27"/>
      <c r="E71" s="27" t="s">
        <v>62</v>
      </c>
      <c r="F71" s="27" t="s">
        <v>15</v>
      </c>
      <c r="G71" s="28" t="s">
        <v>236</v>
      </c>
      <c r="H71" s="29">
        <f t="shared" si="1"/>
        <v>6.7361111111111094E-2</v>
      </c>
      <c r="I71" s="30">
        <v>0.66666666666666663</v>
      </c>
      <c r="J71" s="30">
        <v>0.73402777777777772</v>
      </c>
    </row>
    <row r="72" spans="1:10" ht="25.2" x14ac:dyDescent="0.2">
      <c r="A72" s="22">
        <v>46129</v>
      </c>
      <c r="B72" s="22" t="s">
        <v>11</v>
      </c>
      <c r="C72" s="27" t="s">
        <v>125</v>
      </c>
      <c r="D72" s="27"/>
      <c r="E72" s="27" t="s">
        <v>62</v>
      </c>
      <c r="F72" s="27" t="s">
        <v>15</v>
      </c>
      <c r="G72" s="28" t="s">
        <v>221</v>
      </c>
      <c r="H72" s="29">
        <f t="shared" si="1"/>
        <v>3.2638888888888884E-2</v>
      </c>
      <c r="I72" s="30">
        <v>0.33333333333333331</v>
      </c>
      <c r="J72" s="30">
        <v>0.3659722222222222</v>
      </c>
    </row>
    <row r="73" spans="1:10" ht="25.2" x14ac:dyDescent="0.2">
      <c r="A73" s="22">
        <v>46129</v>
      </c>
      <c r="B73" s="22" t="s">
        <v>11</v>
      </c>
      <c r="C73" s="27" t="s">
        <v>125</v>
      </c>
      <c r="D73" s="27"/>
      <c r="E73" s="27" t="s">
        <v>33</v>
      </c>
      <c r="F73" s="27" t="s">
        <v>15</v>
      </c>
      <c r="G73" s="28" t="s">
        <v>239</v>
      </c>
      <c r="H73" s="29">
        <f t="shared" si="1"/>
        <v>9.2361111111111116E-2</v>
      </c>
      <c r="I73" s="30">
        <v>0.3659722222222222</v>
      </c>
      <c r="J73" s="30">
        <v>0.45833333333333331</v>
      </c>
    </row>
    <row r="74" spans="1:10" ht="37.799999999999997" x14ac:dyDescent="0.2">
      <c r="A74" s="22">
        <v>46129</v>
      </c>
      <c r="B74" s="22" t="s">
        <v>11</v>
      </c>
      <c r="C74" s="27" t="s">
        <v>125</v>
      </c>
      <c r="D74" s="27"/>
      <c r="E74" s="27" t="s">
        <v>62</v>
      </c>
      <c r="F74" s="27" t="s">
        <v>15</v>
      </c>
      <c r="G74" s="28" t="s">
        <v>241</v>
      </c>
      <c r="H74" s="29">
        <f t="shared" si="1"/>
        <v>4.1666666666666685E-2</v>
      </c>
      <c r="I74" s="30">
        <v>0.45833333333333331</v>
      </c>
      <c r="J74" s="30">
        <v>0.5</v>
      </c>
    </row>
    <row r="75" spans="1:10" ht="25.2" x14ac:dyDescent="0.2">
      <c r="A75" s="22">
        <v>46129</v>
      </c>
      <c r="B75" s="22" t="s">
        <v>11</v>
      </c>
      <c r="C75" s="27" t="s">
        <v>125</v>
      </c>
      <c r="D75" s="27"/>
      <c r="E75" s="27" t="s">
        <v>33</v>
      </c>
      <c r="F75" s="27" t="s">
        <v>15</v>
      </c>
      <c r="G75" s="28" t="s">
        <v>239</v>
      </c>
      <c r="H75" s="29">
        <f t="shared" si="1"/>
        <v>0.125</v>
      </c>
      <c r="I75" s="30">
        <v>0.54166666666666663</v>
      </c>
      <c r="J75" s="30">
        <v>0.66666666666666663</v>
      </c>
    </row>
    <row r="76" spans="1:10" ht="25.2" x14ac:dyDescent="0.2">
      <c r="A76" s="22">
        <v>46129</v>
      </c>
      <c r="B76" s="22" t="s">
        <v>11</v>
      </c>
      <c r="C76" s="27" t="s">
        <v>125</v>
      </c>
      <c r="D76" s="27"/>
      <c r="E76" s="27" t="s">
        <v>62</v>
      </c>
      <c r="F76" s="27" t="s">
        <v>15</v>
      </c>
      <c r="G76" s="28" t="s">
        <v>242</v>
      </c>
      <c r="H76" s="29">
        <f t="shared" si="1"/>
        <v>2.430555555555558E-2</v>
      </c>
      <c r="I76" s="30">
        <v>0.66666666666666663</v>
      </c>
      <c r="J76" s="30">
        <v>0.69097222222222221</v>
      </c>
    </row>
    <row r="77" spans="1:10" x14ac:dyDescent="0.2">
      <c r="A77" s="31">
        <v>46130</v>
      </c>
      <c r="B77" s="31" t="s">
        <v>14</v>
      </c>
      <c r="C77" s="32"/>
      <c r="D77" s="32"/>
      <c r="E77" s="32"/>
      <c r="F77" s="32"/>
      <c r="G77" s="33"/>
      <c r="H77" s="34">
        <f t="shared" si="1"/>
        <v>0</v>
      </c>
      <c r="I77" s="35"/>
      <c r="J77" s="35"/>
    </row>
    <row r="78" spans="1:10" x14ac:dyDescent="0.2">
      <c r="A78" s="31">
        <v>46131</v>
      </c>
      <c r="B78" s="31" t="s">
        <v>16</v>
      </c>
      <c r="C78" s="32"/>
      <c r="D78" s="32"/>
      <c r="E78" s="32"/>
      <c r="F78" s="32"/>
      <c r="G78" s="33"/>
      <c r="H78" s="34">
        <f t="shared" si="1"/>
        <v>0</v>
      </c>
      <c r="I78" s="35"/>
      <c r="J78" s="35"/>
    </row>
    <row r="79" spans="1:10" ht="25.2" x14ac:dyDescent="0.2">
      <c r="A79" s="22">
        <v>46132</v>
      </c>
      <c r="B79" s="22" t="s">
        <v>17</v>
      </c>
      <c r="C79" s="27" t="s">
        <v>125</v>
      </c>
      <c r="D79" s="27"/>
      <c r="E79" s="27" t="s">
        <v>62</v>
      </c>
      <c r="F79" s="27" t="s">
        <v>15</v>
      </c>
      <c r="G79" s="28" t="s">
        <v>221</v>
      </c>
      <c r="H79" s="29">
        <f t="shared" si="1"/>
        <v>4.8611111111111494E-3</v>
      </c>
      <c r="I79" s="30">
        <v>0.33333333333333331</v>
      </c>
      <c r="J79" s="30">
        <v>0.33819444444444446</v>
      </c>
    </row>
    <row r="80" spans="1:10" ht="25.2" x14ac:dyDescent="0.2">
      <c r="A80" s="22">
        <v>46132</v>
      </c>
      <c r="B80" s="22" t="s">
        <v>17</v>
      </c>
      <c r="C80" s="27" t="s">
        <v>125</v>
      </c>
      <c r="D80" s="27"/>
      <c r="E80" s="27" t="s">
        <v>33</v>
      </c>
      <c r="F80" s="27" t="s">
        <v>15</v>
      </c>
      <c r="G80" s="28" t="s">
        <v>230</v>
      </c>
      <c r="H80" s="29">
        <f t="shared" si="1"/>
        <v>0.12013888888888885</v>
      </c>
      <c r="I80" s="30">
        <v>0.33819444444444446</v>
      </c>
      <c r="J80" s="30">
        <v>0.45833333333333331</v>
      </c>
    </row>
    <row r="81" spans="1:10" ht="25.2" x14ac:dyDescent="0.2">
      <c r="A81" s="22">
        <v>46132</v>
      </c>
      <c r="B81" s="22" t="s">
        <v>17</v>
      </c>
      <c r="C81" s="27" t="s">
        <v>125</v>
      </c>
      <c r="D81" s="27"/>
      <c r="E81" s="27" t="s">
        <v>62</v>
      </c>
      <c r="F81" s="27" t="s">
        <v>15</v>
      </c>
      <c r="G81" s="28" t="s">
        <v>244</v>
      </c>
      <c r="H81" s="29">
        <f t="shared" si="1"/>
        <v>2.7777777777778234E-3</v>
      </c>
      <c r="I81" s="30">
        <v>0.45833333333333331</v>
      </c>
      <c r="J81" s="30">
        <v>0.46111111111111114</v>
      </c>
    </row>
    <row r="82" spans="1:10" ht="25.2" x14ac:dyDescent="0.2">
      <c r="A82" s="22">
        <v>46132</v>
      </c>
      <c r="B82" s="22" t="s">
        <v>17</v>
      </c>
      <c r="C82" s="27" t="s">
        <v>125</v>
      </c>
      <c r="D82" s="27"/>
      <c r="E82" s="27" t="s">
        <v>33</v>
      </c>
      <c r="F82" s="27" t="s">
        <v>15</v>
      </c>
      <c r="G82" s="28" t="s">
        <v>230</v>
      </c>
      <c r="H82" s="29">
        <f t="shared" si="1"/>
        <v>4.2361111111111072E-2</v>
      </c>
      <c r="I82" s="30">
        <v>0.46111111111111114</v>
      </c>
      <c r="J82" s="30">
        <v>0.50347222222222221</v>
      </c>
    </row>
    <row r="83" spans="1:10" ht="37.799999999999997" x14ac:dyDescent="0.2">
      <c r="A83" s="22">
        <v>46132</v>
      </c>
      <c r="B83" s="22" t="s">
        <v>17</v>
      </c>
      <c r="C83" s="27" t="s">
        <v>125</v>
      </c>
      <c r="D83" s="27"/>
      <c r="E83" s="27" t="s">
        <v>62</v>
      </c>
      <c r="F83" s="27" t="s">
        <v>15</v>
      </c>
      <c r="G83" s="28" t="s">
        <v>243</v>
      </c>
      <c r="H83" s="29">
        <f t="shared" si="1"/>
        <v>0.125</v>
      </c>
      <c r="I83" s="30">
        <v>0.54166666666666663</v>
      </c>
      <c r="J83" s="30">
        <v>0.66666666666666663</v>
      </c>
    </row>
    <row r="84" spans="1:10" ht="37.799999999999997" x14ac:dyDescent="0.2">
      <c r="A84" s="22">
        <v>46132</v>
      </c>
      <c r="B84" s="22" t="s">
        <v>17</v>
      </c>
      <c r="C84" s="27" t="s">
        <v>125</v>
      </c>
      <c r="D84" s="27"/>
      <c r="E84" s="27" t="s">
        <v>62</v>
      </c>
      <c r="F84" s="27" t="s">
        <v>15</v>
      </c>
      <c r="G84" s="28" t="s">
        <v>245</v>
      </c>
      <c r="H84" s="29">
        <f t="shared" si="1"/>
        <v>5.0694444444444486E-2</v>
      </c>
      <c r="I84" s="30">
        <v>0.66666666666666663</v>
      </c>
      <c r="J84" s="30">
        <v>0.71736111111111112</v>
      </c>
    </row>
    <row r="85" spans="1:10" ht="25.2" x14ac:dyDescent="0.2">
      <c r="A85" s="22">
        <v>46133</v>
      </c>
      <c r="B85" s="22" t="s">
        <v>18</v>
      </c>
      <c r="C85" s="27" t="s">
        <v>125</v>
      </c>
      <c r="D85" s="27"/>
      <c r="E85" s="27" t="s">
        <v>62</v>
      </c>
      <c r="F85" s="27" t="s">
        <v>15</v>
      </c>
      <c r="G85" s="28" t="s">
        <v>221</v>
      </c>
      <c r="H85" s="29">
        <f t="shared" si="1"/>
        <v>5.5555555555555913E-3</v>
      </c>
      <c r="I85" s="30">
        <v>0.33333333333333331</v>
      </c>
      <c r="J85" s="30">
        <v>0.33888888888888891</v>
      </c>
    </row>
    <row r="86" spans="1:10" ht="25.2" x14ac:dyDescent="0.2">
      <c r="A86" s="22">
        <v>46133</v>
      </c>
      <c r="B86" s="22" t="s">
        <v>18</v>
      </c>
      <c r="C86" s="27" t="s">
        <v>125</v>
      </c>
      <c r="D86" s="27"/>
      <c r="E86" s="27" t="s">
        <v>33</v>
      </c>
      <c r="F86" s="27" t="s">
        <v>15</v>
      </c>
      <c r="G86" s="28" t="s">
        <v>230</v>
      </c>
      <c r="H86" s="29">
        <f t="shared" si="1"/>
        <v>0.11944444444444441</v>
      </c>
      <c r="I86" s="30">
        <v>0.33888888888888891</v>
      </c>
      <c r="J86" s="30">
        <v>0.45833333333333331</v>
      </c>
    </row>
    <row r="87" spans="1:10" ht="37.799999999999997" x14ac:dyDescent="0.2">
      <c r="A87" s="22">
        <v>46133</v>
      </c>
      <c r="B87" s="22" t="s">
        <v>18</v>
      </c>
      <c r="C87" s="27" t="s">
        <v>125</v>
      </c>
      <c r="D87" s="27"/>
      <c r="E87" s="27" t="s">
        <v>62</v>
      </c>
      <c r="F87" s="27" t="s">
        <v>15</v>
      </c>
      <c r="G87" s="28" t="s">
        <v>243</v>
      </c>
      <c r="H87" s="29">
        <f t="shared" si="1"/>
        <v>3.9583333333333359E-2</v>
      </c>
      <c r="I87" s="30">
        <v>0.45833333333333331</v>
      </c>
      <c r="J87" s="30">
        <v>0.49791666666666667</v>
      </c>
    </row>
    <row r="88" spans="1:10" ht="25.2" x14ac:dyDescent="0.2">
      <c r="A88" s="22">
        <v>46133</v>
      </c>
      <c r="B88" s="22" t="s">
        <v>18</v>
      </c>
      <c r="C88" s="27" t="s">
        <v>125</v>
      </c>
      <c r="D88" s="27"/>
      <c r="E88" s="27" t="s">
        <v>33</v>
      </c>
      <c r="F88" s="27" t="s">
        <v>15</v>
      </c>
      <c r="G88" s="28" t="s">
        <v>230</v>
      </c>
      <c r="H88" s="29">
        <f t="shared" si="1"/>
        <v>0.125</v>
      </c>
      <c r="I88" s="30">
        <v>0.54166666666666663</v>
      </c>
      <c r="J88" s="30">
        <v>0.66666666666666663</v>
      </c>
    </row>
    <row r="89" spans="1:10" ht="37.799999999999997" x14ac:dyDescent="0.2">
      <c r="A89" s="22">
        <v>46133</v>
      </c>
      <c r="B89" s="22" t="s">
        <v>18</v>
      </c>
      <c r="C89" s="27" t="s">
        <v>125</v>
      </c>
      <c r="D89" s="27"/>
      <c r="E89" s="27" t="s">
        <v>62</v>
      </c>
      <c r="F89" s="27" t="s">
        <v>15</v>
      </c>
      <c r="G89" s="28" t="s">
        <v>243</v>
      </c>
      <c r="H89" s="29">
        <f t="shared" si="1"/>
        <v>4.5138888888888951E-2</v>
      </c>
      <c r="I89" s="30">
        <v>0.66666666666666663</v>
      </c>
      <c r="J89" s="30">
        <v>0.71180555555555558</v>
      </c>
    </row>
    <row r="90" spans="1:10" ht="25.2" x14ac:dyDescent="0.2">
      <c r="A90" s="22">
        <v>46134</v>
      </c>
      <c r="B90" s="22" t="s">
        <v>19</v>
      </c>
      <c r="C90" s="27" t="s">
        <v>125</v>
      </c>
      <c r="D90" s="27"/>
      <c r="E90" s="27" t="s">
        <v>62</v>
      </c>
      <c r="F90" s="27" t="s">
        <v>15</v>
      </c>
      <c r="G90" s="28" t="s">
        <v>221</v>
      </c>
      <c r="H90" s="29">
        <f t="shared" si="1"/>
        <v>2.7777777777778234E-3</v>
      </c>
      <c r="I90" s="30">
        <v>0.33333333333333331</v>
      </c>
      <c r="J90" s="30">
        <v>0.33611111111111114</v>
      </c>
    </row>
    <row r="91" spans="1:10" x14ac:dyDescent="0.2">
      <c r="A91" s="22">
        <v>46134</v>
      </c>
      <c r="B91" s="22" t="s">
        <v>19</v>
      </c>
      <c r="C91" s="27" t="s">
        <v>125</v>
      </c>
      <c r="D91" s="27"/>
      <c r="E91" s="27" t="s">
        <v>33</v>
      </c>
      <c r="F91" s="27" t="s">
        <v>15</v>
      </c>
      <c r="G91" s="27" t="s">
        <v>230</v>
      </c>
      <c r="H91" s="29">
        <f t="shared" si="1"/>
        <v>0.12222222222222218</v>
      </c>
      <c r="I91" s="30">
        <v>0.33611111111111114</v>
      </c>
      <c r="J91" s="30">
        <v>0.45833333333333331</v>
      </c>
    </row>
    <row r="92" spans="1:10" x14ac:dyDescent="0.2">
      <c r="A92" s="22">
        <v>46134</v>
      </c>
      <c r="B92" s="22" t="s">
        <v>19</v>
      </c>
      <c r="C92" s="27" t="s">
        <v>125</v>
      </c>
      <c r="D92" s="27"/>
      <c r="E92" s="27" t="s">
        <v>62</v>
      </c>
      <c r="F92" s="27" t="s">
        <v>15</v>
      </c>
      <c r="G92" s="27" t="s">
        <v>243</v>
      </c>
      <c r="H92" s="29">
        <f t="shared" si="1"/>
        <v>5.2083333333333315E-2</v>
      </c>
      <c r="I92" s="30">
        <v>0.45833333333333331</v>
      </c>
      <c r="J92" s="30">
        <v>0.51041666666666663</v>
      </c>
    </row>
    <row r="93" spans="1:10" x14ac:dyDescent="0.2">
      <c r="A93" s="22">
        <v>46134</v>
      </c>
      <c r="B93" s="22" t="s">
        <v>19</v>
      </c>
      <c r="C93" s="27" t="s">
        <v>125</v>
      </c>
      <c r="D93" s="27"/>
      <c r="E93" s="27" t="s">
        <v>33</v>
      </c>
      <c r="F93" s="27" t="s">
        <v>15</v>
      </c>
      <c r="G93" s="27" t="s">
        <v>230</v>
      </c>
      <c r="H93" s="29">
        <f t="shared" si="1"/>
        <v>0.10416666666666663</v>
      </c>
      <c r="I93" s="30">
        <v>0.5625</v>
      </c>
      <c r="J93" s="30">
        <v>0.66666666666666663</v>
      </c>
    </row>
    <row r="94" spans="1:10" x14ac:dyDescent="0.2">
      <c r="A94" s="22">
        <v>46134</v>
      </c>
      <c r="B94" s="22" t="s">
        <v>19</v>
      </c>
      <c r="C94" s="27" t="s">
        <v>125</v>
      </c>
      <c r="D94" s="27"/>
      <c r="E94" s="27" t="s">
        <v>62</v>
      </c>
      <c r="F94" s="27" t="s">
        <v>15</v>
      </c>
      <c r="G94" s="27" t="s">
        <v>245</v>
      </c>
      <c r="H94" s="29">
        <f t="shared" si="1"/>
        <v>4.861111111111116E-2</v>
      </c>
      <c r="I94" s="30">
        <v>0.66666666666666663</v>
      </c>
      <c r="J94" s="30">
        <v>0.71527777777777779</v>
      </c>
    </row>
    <row r="95" spans="1:10" ht="25.2" x14ac:dyDescent="0.2">
      <c r="A95" s="22">
        <v>46135</v>
      </c>
      <c r="B95" s="22" t="s">
        <v>20</v>
      </c>
      <c r="C95" s="27" t="s">
        <v>125</v>
      </c>
      <c r="D95" s="27"/>
      <c r="E95" s="27" t="s">
        <v>62</v>
      </c>
      <c r="F95" s="27" t="s">
        <v>15</v>
      </c>
      <c r="G95" s="28" t="s">
        <v>221</v>
      </c>
      <c r="H95" s="29">
        <f t="shared" si="1"/>
        <v>2.7777777777778234E-3</v>
      </c>
      <c r="I95" s="30">
        <v>0.33333333333333331</v>
      </c>
      <c r="J95" s="30">
        <v>0.33611111111111114</v>
      </c>
    </row>
    <row r="96" spans="1:10" ht="25.2" x14ac:dyDescent="0.2">
      <c r="A96" s="22">
        <v>46135</v>
      </c>
      <c r="B96" s="22" t="s">
        <v>20</v>
      </c>
      <c r="C96" s="27" t="s">
        <v>125</v>
      </c>
      <c r="D96" s="27"/>
      <c r="E96" s="27" t="s">
        <v>33</v>
      </c>
      <c r="F96" s="27" t="s">
        <v>15</v>
      </c>
      <c r="G96" s="28" t="s">
        <v>230</v>
      </c>
      <c r="H96" s="29">
        <f t="shared" si="1"/>
        <v>0.12222222222222218</v>
      </c>
      <c r="I96" s="30">
        <v>0.33611111111111114</v>
      </c>
      <c r="J96" s="30">
        <v>0.45833333333333331</v>
      </c>
    </row>
    <row r="97" spans="1:10" ht="37.799999999999997" x14ac:dyDescent="0.2">
      <c r="A97" s="22">
        <v>46135</v>
      </c>
      <c r="B97" s="22" t="s">
        <v>20</v>
      </c>
      <c r="C97" s="27" t="s">
        <v>125</v>
      </c>
      <c r="D97" s="27"/>
      <c r="E97" s="27" t="s">
        <v>62</v>
      </c>
      <c r="F97" s="27" t="s">
        <v>15</v>
      </c>
      <c r="G97" s="28" t="s">
        <v>243</v>
      </c>
      <c r="H97" s="29">
        <f t="shared" si="1"/>
        <v>4.9305555555555547E-2</v>
      </c>
      <c r="I97" s="30">
        <v>0.45833333333333331</v>
      </c>
      <c r="J97" s="30">
        <v>0.50763888888888886</v>
      </c>
    </row>
    <row r="98" spans="1:10" ht="25.2" x14ac:dyDescent="0.2">
      <c r="A98" s="22">
        <v>46135</v>
      </c>
      <c r="B98" s="22" t="s">
        <v>20</v>
      </c>
      <c r="C98" s="27" t="s">
        <v>125</v>
      </c>
      <c r="D98" s="27"/>
      <c r="E98" s="27" t="s">
        <v>33</v>
      </c>
      <c r="F98" s="27" t="s">
        <v>15</v>
      </c>
      <c r="G98" s="28" t="s">
        <v>230</v>
      </c>
      <c r="H98" s="29">
        <f t="shared" si="1"/>
        <v>0.10069444444444442</v>
      </c>
      <c r="I98" s="30">
        <v>0.56597222222222221</v>
      </c>
      <c r="J98" s="30">
        <v>0.66666666666666663</v>
      </c>
    </row>
    <row r="99" spans="1:10" ht="37.799999999999997" x14ac:dyDescent="0.2">
      <c r="A99" s="22">
        <v>46135</v>
      </c>
      <c r="B99" s="22" t="s">
        <v>20</v>
      </c>
      <c r="C99" s="27" t="s">
        <v>125</v>
      </c>
      <c r="D99" s="27"/>
      <c r="E99" s="27" t="s">
        <v>33</v>
      </c>
      <c r="F99" s="27" t="s">
        <v>15</v>
      </c>
      <c r="G99" s="28" t="s">
        <v>245</v>
      </c>
      <c r="H99" s="29">
        <f t="shared" si="1"/>
        <v>3.6805555555555647E-2</v>
      </c>
      <c r="I99" s="30">
        <v>0.66666666666666663</v>
      </c>
      <c r="J99" s="30">
        <v>0.70347222222222228</v>
      </c>
    </row>
    <row r="100" spans="1:10" ht="25.2" x14ac:dyDescent="0.2">
      <c r="A100" s="22">
        <v>46135</v>
      </c>
      <c r="B100" s="22" t="s">
        <v>246</v>
      </c>
      <c r="C100" s="27" t="s">
        <v>125</v>
      </c>
      <c r="D100" s="27"/>
      <c r="E100" s="27" t="s">
        <v>62</v>
      </c>
      <c r="F100" s="27" t="s">
        <v>15</v>
      </c>
      <c r="G100" s="28" t="s">
        <v>247</v>
      </c>
      <c r="H100" s="29">
        <f t="shared" si="1"/>
        <v>3.125E-2</v>
      </c>
      <c r="I100" s="30">
        <v>0.70347222222222228</v>
      </c>
      <c r="J100" s="30">
        <v>0.73472222222222228</v>
      </c>
    </row>
    <row r="101" spans="1:10" ht="25.2" x14ac:dyDescent="0.2">
      <c r="A101" s="22">
        <v>46136</v>
      </c>
      <c r="B101" s="22" t="s">
        <v>11</v>
      </c>
      <c r="C101" s="27" t="s">
        <v>125</v>
      </c>
      <c r="D101" s="27"/>
      <c r="E101" s="27" t="s">
        <v>62</v>
      </c>
      <c r="F101" s="27" t="s">
        <v>15</v>
      </c>
      <c r="G101" s="28" t="s">
        <v>221</v>
      </c>
      <c r="H101" s="29">
        <f t="shared" si="1"/>
        <v>9.0277777777778012E-3</v>
      </c>
      <c r="I101" s="30">
        <v>0.33333333333333331</v>
      </c>
      <c r="J101" s="30">
        <v>0.34236111111111112</v>
      </c>
    </row>
    <row r="102" spans="1:10" ht="25.2" x14ac:dyDescent="0.2">
      <c r="A102" s="22">
        <v>46136</v>
      </c>
      <c r="B102" s="22" t="s">
        <v>11</v>
      </c>
      <c r="C102" s="27" t="s">
        <v>125</v>
      </c>
      <c r="D102" s="27"/>
      <c r="E102" s="27" t="s">
        <v>33</v>
      </c>
      <c r="F102" s="27" t="s">
        <v>15</v>
      </c>
      <c r="G102" s="28" t="s">
        <v>230</v>
      </c>
      <c r="H102" s="29">
        <f t="shared" si="1"/>
        <v>0.1159722222222222</v>
      </c>
      <c r="I102" s="30">
        <v>0.34236111111111112</v>
      </c>
      <c r="J102" s="30">
        <v>0.45833333333333331</v>
      </c>
    </row>
    <row r="103" spans="1:10" ht="37.799999999999997" x14ac:dyDescent="0.2">
      <c r="A103" s="22">
        <v>46136</v>
      </c>
      <c r="B103" s="22" t="s">
        <v>11</v>
      </c>
      <c r="C103" s="27" t="s">
        <v>125</v>
      </c>
      <c r="D103" s="27"/>
      <c r="E103" s="27" t="s">
        <v>62</v>
      </c>
      <c r="F103" s="27" t="s">
        <v>15</v>
      </c>
      <c r="G103" s="28" t="s">
        <v>248</v>
      </c>
      <c r="H103" s="29">
        <f t="shared" si="1"/>
        <v>3.4027777777777823E-2</v>
      </c>
      <c r="I103" s="30">
        <v>0.45833333333333331</v>
      </c>
      <c r="J103" s="30">
        <v>0.49236111111111114</v>
      </c>
    </row>
    <row r="104" spans="1:10" ht="25.2" x14ac:dyDescent="0.2">
      <c r="A104" s="22">
        <v>46136</v>
      </c>
      <c r="B104" s="22" t="s">
        <v>11</v>
      </c>
      <c r="C104" s="27" t="s">
        <v>125</v>
      </c>
      <c r="D104" s="27"/>
      <c r="E104" s="27" t="s">
        <v>33</v>
      </c>
      <c r="F104" s="27" t="s">
        <v>15</v>
      </c>
      <c r="G104" s="28" t="s">
        <v>230</v>
      </c>
      <c r="H104" s="29">
        <f t="shared" si="1"/>
        <v>2.8472222222222232E-2</v>
      </c>
      <c r="I104" s="30">
        <v>0.49236111111111114</v>
      </c>
      <c r="J104" s="30">
        <v>0.52083333333333337</v>
      </c>
    </row>
    <row r="105" spans="1:10" ht="25.2" x14ac:dyDescent="0.2">
      <c r="A105" s="22">
        <v>46136</v>
      </c>
      <c r="B105" s="22" t="s">
        <v>11</v>
      </c>
      <c r="C105" s="27" t="s">
        <v>125</v>
      </c>
      <c r="D105" s="27"/>
      <c r="E105" s="27" t="s">
        <v>33</v>
      </c>
      <c r="F105" s="27" t="s">
        <v>15</v>
      </c>
      <c r="G105" s="28" t="s">
        <v>230</v>
      </c>
      <c r="H105" s="29">
        <f t="shared" si="1"/>
        <v>4.0972222222222188E-2</v>
      </c>
      <c r="I105" s="30">
        <v>0.56319444444444444</v>
      </c>
      <c r="J105" s="30">
        <v>0.60416666666666663</v>
      </c>
    </row>
    <row r="106" spans="1:10" ht="37.799999999999997" x14ac:dyDescent="0.2">
      <c r="A106" s="22">
        <v>46136</v>
      </c>
      <c r="B106" s="22" t="s">
        <v>11</v>
      </c>
      <c r="C106" s="27" t="s">
        <v>125</v>
      </c>
      <c r="D106" s="27"/>
      <c r="E106" s="27" t="s">
        <v>62</v>
      </c>
      <c r="F106" s="27" t="s">
        <v>15</v>
      </c>
      <c r="G106" s="28" t="s">
        <v>249</v>
      </c>
      <c r="H106" s="29">
        <f t="shared" si="1"/>
        <v>5.5555555555556468E-3</v>
      </c>
      <c r="I106" s="30">
        <v>0.60416666666666663</v>
      </c>
      <c r="J106" s="30">
        <v>0.60972222222222228</v>
      </c>
    </row>
    <row r="107" spans="1:10" ht="25.2" x14ac:dyDescent="0.2">
      <c r="A107" s="22">
        <v>46136</v>
      </c>
      <c r="B107" s="22" t="s">
        <v>11</v>
      </c>
      <c r="C107" s="27" t="s">
        <v>125</v>
      </c>
      <c r="D107" s="27"/>
      <c r="E107" s="27" t="s">
        <v>33</v>
      </c>
      <c r="F107" s="27" t="s">
        <v>15</v>
      </c>
      <c r="G107" s="28" t="s">
        <v>250</v>
      </c>
      <c r="H107" s="29">
        <f t="shared" si="1"/>
        <v>5.6944444444444353E-2</v>
      </c>
      <c r="I107" s="30">
        <v>0.60972222222222228</v>
      </c>
      <c r="J107" s="30">
        <v>0.66666666666666663</v>
      </c>
    </row>
    <row r="108" spans="1:10" ht="25.2" x14ac:dyDescent="0.2">
      <c r="A108" s="22">
        <v>46136</v>
      </c>
      <c r="B108" s="22" t="s">
        <v>11</v>
      </c>
      <c r="C108" s="27" t="s">
        <v>125</v>
      </c>
      <c r="D108" s="27"/>
      <c r="E108" s="27" t="s">
        <v>62</v>
      </c>
      <c r="F108" s="27" t="s">
        <v>15</v>
      </c>
      <c r="G108" s="28" t="s">
        <v>251</v>
      </c>
      <c r="H108" s="29">
        <f t="shared" si="1"/>
        <v>6.25E-2</v>
      </c>
      <c r="I108" s="30">
        <v>0.66666666666666663</v>
      </c>
      <c r="J108" s="30">
        <v>0.72916666666666663</v>
      </c>
    </row>
    <row r="109" spans="1:10" x14ac:dyDescent="0.2">
      <c r="A109" s="31">
        <v>46137</v>
      </c>
      <c r="B109" s="31" t="s">
        <v>14</v>
      </c>
      <c r="C109" s="32"/>
      <c r="D109" s="32"/>
      <c r="E109" s="32"/>
      <c r="F109" s="32"/>
      <c r="G109" s="33"/>
      <c r="H109" s="34">
        <f t="shared" si="1"/>
        <v>0</v>
      </c>
      <c r="I109" s="35"/>
      <c r="J109" s="35"/>
    </row>
    <row r="110" spans="1:10" x14ac:dyDescent="0.2">
      <c r="A110" s="31">
        <v>46138</v>
      </c>
      <c r="B110" s="31" t="s">
        <v>16</v>
      </c>
      <c r="C110" s="32"/>
      <c r="D110" s="32"/>
      <c r="E110" s="32"/>
      <c r="F110" s="32"/>
      <c r="G110" s="33"/>
      <c r="H110" s="34">
        <f t="shared" si="1"/>
        <v>0</v>
      </c>
      <c r="I110" s="35"/>
      <c r="J110" s="35"/>
    </row>
    <row r="111" spans="1:10" x14ac:dyDescent="0.2">
      <c r="A111" s="47">
        <v>46139</v>
      </c>
      <c r="B111" s="47" t="s">
        <v>17</v>
      </c>
      <c r="C111" s="48" t="s">
        <v>125</v>
      </c>
      <c r="D111" s="48"/>
      <c r="E111" s="48" t="s">
        <v>89</v>
      </c>
      <c r="F111" s="48" t="s">
        <v>15</v>
      </c>
      <c r="G111" s="49" t="s">
        <v>179</v>
      </c>
      <c r="H111" s="50">
        <f t="shared" si="1"/>
        <v>0.33333333333333331</v>
      </c>
      <c r="I111" s="51">
        <v>0.33333333333333331</v>
      </c>
      <c r="J111" s="51">
        <v>0.66666666666666663</v>
      </c>
    </row>
    <row r="112" spans="1:10" ht="25.2" x14ac:dyDescent="0.2">
      <c r="A112" s="22">
        <v>46140</v>
      </c>
      <c r="B112" s="22" t="s">
        <v>18</v>
      </c>
      <c r="C112" s="27" t="s">
        <v>125</v>
      </c>
      <c r="D112" s="27"/>
      <c r="E112" s="27" t="s">
        <v>62</v>
      </c>
      <c r="F112" s="27" t="s">
        <v>15</v>
      </c>
      <c r="G112" s="28" t="s">
        <v>221</v>
      </c>
      <c r="H112" s="29">
        <f t="shared" si="1"/>
        <v>4.1666666666667074E-3</v>
      </c>
      <c r="I112" s="30">
        <v>0.33333333333333331</v>
      </c>
      <c r="J112" s="30">
        <v>0.33750000000000002</v>
      </c>
    </row>
    <row r="113" spans="1:10" ht="37.799999999999997" x14ac:dyDescent="0.2">
      <c r="A113" s="22">
        <v>46140</v>
      </c>
      <c r="B113" s="22" t="s">
        <v>18</v>
      </c>
      <c r="C113" s="27" t="s">
        <v>125</v>
      </c>
      <c r="D113" s="27"/>
      <c r="E113" s="27" t="s">
        <v>33</v>
      </c>
      <c r="F113" s="27" t="s">
        <v>15</v>
      </c>
      <c r="G113" s="28" t="s">
        <v>253</v>
      </c>
      <c r="H113" s="29">
        <f t="shared" si="1"/>
        <v>0.125</v>
      </c>
      <c r="I113" s="30">
        <v>0.33333333333333331</v>
      </c>
      <c r="J113" s="30">
        <v>0.45833333333333331</v>
      </c>
    </row>
    <row r="114" spans="1:10" ht="37.799999999999997" x14ac:dyDescent="0.2">
      <c r="A114" s="22">
        <v>46140</v>
      </c>
      <c r="B114" s="22" t="s">
        <v>18</v>
      </c>
      <c r="C114" s="27" t="s">
        <v>125</v>
      </c>
      <c r="D114" s="27"/>
      <c r="E114" s="27" t="s">
        <v>62</v>
      </c>
      <c r="F114" s="27" t="s">
        <v>15</v>
      </c>
      <c r="G114" s="28" t="s">
        <v>243</v>
      </c>
      <c r="H114" s="29">
        <f t="shared" si="1"/>
        <v>4.3055555555555569E-2</v>
      </c>
      <c r="I114" s="30">
        <v>0.45833333333333331</v>
      </c>
      <c r="J114" s="30">
        <v>0.50138888888888888</v>
      </c>
    </row>
    <row r="115" spans="1:10" ht="37.799999999999997" x14ac:dyDescent="0.2">
      <c r="A115" s="22">
        <v>46140</v>
      </c>
      <c r="B115" s="22" t="s">
        <v>18</v>
      </c>
      <c r="C115" s="27" t="s">
        <v>125</v>
      </c>
      <c r="D115" s="27"/>
      <c r="E115" s="27" t="s">
        <v>33</v>
      </c>
      <c r="F115" s="27" t="s">
        <v>15</v>
      </c>
      <c r="G115" s="28" t="s">
        <v>252</v>
      </c>
      <c r="H115" s="29">
        <f t="shared" si="1"/>
        <v>5.902777777777779E-2</v>
      </c>
      <c r="I115" s="30">
        <v>0.54513888888888884</v>
      </c>
      <c r="J115" s="30">
        <v>0.60416666666666663</v>
      </c>
    </row>
    <row r="116" spans="1:10" ht="37.799999999999997" x14ac:dyDescent="0.2">
      <c r="A116" s="22">
        <v>46140</v>
      </c>
      <c r="B116" s="22" t="s">
        <v>18</v>
      </c>
      <c r="C116" s="27" t="s">
        <v>125</v>
      </c>
      <c r="D116" s="27"/>
      <c r="E116" s="27" t="s">
        <v>62</v>
      </c>
      <c r="F116" s="27" t="s">
        <v>15</v>
      </c>
      <c r="G116" s="28" t="s">
        <v>249</v>
      </c>
      <c r="H116" s="29">
        <f t="shared" si="1"/>
        <v>6.25E-2</v>
      </c>
      <c r="I116" s="30">
        <v>0.60416666666666663</v>
      </c>
      <c r="J116" s="30">
        <v>0.66666666666666663</v>
      </c>
    </row>
    <row r="117" spans="1:10" ht="37.799999999999997" x14ac:dyDescent="0.2">
      <c r="A117" s="22">
        <v>46140</v>
      </c>
      <c r="B117" s="22" t="s">
        <v>18</v>
      </c>
      <c r="C117" s="27" t="s">
        <v>125</v>
      </c>
      <c r="D117" s="27"/>
      <c r="E117" s="27" t="s">
        <v>62</v>
      </c>
      <c r="F117" s="27" t="s">
        <v>15</v>
      </c>
      <c r="G117" s="28" t="s">
        <v>245</v>
      </c>
      <c r="H117" s="29">
        <f t="shared" si="1"/>
        <v>4.5138888888888951E-2</v>
      </c>
      <c r="I117" s="30">
        <v>0.66666666666666663</v>
      </c>
      <c r="J117" s="30">
        <v>0.71180555555555558</v>
      </c>
    </row>
    <row r="118" spans="1:10" ht="25.2" x14ac:dyDescent="0.2">
      <c r="A118" s="22">
        <v>46141</v>
      </c>
      <c r="B118" s="22" t="s">
        <v>19</v>
      </c>
      <c r="C118" s="27" t="s">
        <v>125</v>
      </c>
      <c r="D118" s="27"/>
      <c r="E118" s="27" t="s">
        <v>62</v>
      </c>
      <c r="F118" s="27" t="s">
        <v>15</v>
      </c>
      <c r="G118" s="28" t="s">
        <v>221</v>
      </c>
      <c r="H118" s="29">
        <f t="shared" si="1"/>
        <v>1.3194444444444453E-2</v>
      </c>
      <c r="I118" s="30">
        <v>0.33333333333333331</v>
      </c>
      <c r="J118" s="30">
        <v>0.34652777777777777</v>
      </c>
    </row>
    <row r="119" spans="1:10" ht="25.2" x14ac:dyDescent="0.2">
      <c r="A119" s="22">
        <v>46141</v>
      </c>
      <c r="B119" s="22" t="s">
        <v>19</v>
      </c>
      <c r="C119" s="27" t="s">
        <v>125</v>
      </c>
      <c r="D119" s="27"/>
      <c r="E119" s="27" t="s">
        <v>33</v>
      </c>
      <c r="F119" s="27" t="s">
        <v>15</v>
      </c>
      <c r="G119" s="28" t="s">
        <v>255</v>
      </c>
      <c r="H119" s="29">
        <f t="shared" si="1"/>
        <v>4.9305555555555547E-2</v>
      </c>
      <c r="I119" s="30">
        <v>0.34652777777777777</v>
      </c>
      <c r="J119" s="30">
        <v>0.39583333333333331</v>
      </c>
    </row>
    <row r="120" spans="1:10" ht="37.799999999999997" x14ac:dyDescent="0.2">
      <c r="A120" s="22">
        <v>46141</v>
      </c>
      <c r="B120" s="22" t="s">
        <v>19</v>
      </c>
      <c r="C120" s="27" t="s">
        <v>125</v>
      </c>
      <c r="D120" s="27"/>
      <c r="E120" s="27" t="s">
        <v>62</v>
      </c>
      <c r="F120" s="27" t="s">
        <v>15</v>
      </c>
      <c r="G120" s="28" t="s">
        <v>249</v>
      </c>
      <c r="H120" s="29">
        <f t="shared" si="1"/>
        <v>5.7638888888888906E-2</v>
      </c>
      <c r="I120" s="30">
        <v>0.39583333333333331</v>
      </c>
      <c r="J120" s="30">
        <v>0.45347222222222222</v>
      </c>
    </row>
    <row r="121" spans="1:10" ht="25.2" x14ac:dyDescent="0.2">
      <c r="A121" s="22">
        <v>46141</v>
      </c>
      <c r="B121" s="22" t="s">
        <v>19</v>
      </c>
      <c r="C121" s="27" t="s">
        <v>125</v>
      </c>
      <c r="D121" s="27"/>
      <c r="E121" s="27" t="s">
        <v>62</v>
      </c>
      <c r="F121" s="27" t="s">
        <v>15</v>
      </c>
      <c r="G121" s="28" t="s">
        <v>244</v>
      </c>
      <c r="H121" s="29">
        <f t="shared" si="1"/>
        <v>3.3333333333333326E-2</v>
      </c>
      <c r="I121" s="30">
        <v>0.45833333333333331</v>
      </c>
      <c r="J121" s="30">
        <v>0.49166666666666664</v>
      </c>
    </row>
    <row r="122" spans="1:10" ht="25.2" x14ac:dyDescent="0.2">
      <c r="A122" s="22">
        <v>46141</v>
      </c>
      <c r="B122" s="22" t="s">
        <v>19</v>
      </c>
      <c r="C122" s="27" t="s">
        <v>125</v>
      </c>
      <c r="D122" s="27"/>
      <c r="E122" s="27" t="s">
        <v>33</v>
      </c>
      <c r="F122" s="27" t="s">
        <v>15</v>
      </c>
      <c r="G122" s="28" t="s">
        <v>254</v>
      </c>
      <c r="H122" s="29">
        <f t="shared" si="1"/>
        <v>2.916666666666673E-2</v>
      </c>
      <c r="I122" s="30">
        <v>0.49166666666666664</v>
      </c>
      <c r="J122" s="30">
        <v>0.52083333333333337</v>
      </c>
    </row>
    <row r="123" spans="1:10" ht="25.2" x14ac:dyDescent="0.2">
      <c r="A123" s="22">
        <v>46141</v>
      </c>
      <c r="B123" s="22" t="s">
        <v>19</v>
      </c>
      <c r="C123" s="27" t="s">
        <v>125</v>
      </c>
      <c r="D123" s="27"/>
      <c r="E123" s="27" t="s">
        <v>33</v>
      </c>
      <c r="F123" s="27" t="s">
        <v>15</v>
      </c>
      <c r="G123" s="28" t="s">
        <v>256</v>
      </c>
      <c r="H123" s="29">
        <f t="shared" si="1"/>
        <v>0.10416666666666663</v>
      </c>
      <c r="I123" s="30">
        <v>0.5625</v>
      </c>
      <c r="J123" s="30">
        <v>0.66666666666666663</v>
      </c>
    </row>
    <row r="124" spans="1:10" ht="37.799999999999997" x14ac:dyDescent="0.2">
      <c r="A124" s="22">
        <v>46141</v>
      </c>
      <c r="B124" s="22" t="s">
        <v>19</v>
      </c>
      <c r="C124" s="27" t="s">
        <v>125</v>
      </c>
      <c r="D124" s="27"/>
      <c r="E124" s="27" t="s">
        <v>62</v>
      </c>
      <c r="F124" s="27" t="s">
        <v>15</v>
      </c>
      <c r="G124" s="28" t="s">
        <v>257</v>
      </c>
      <c r="H124" s="29">
        <f t="shared" si="1"/>
        <v>4.5138888888888951E-2</v>
      </c>
      <c r="I124" s="30">
        <v>0.66666666666666663</v>
      </c>
      <c r="J124" s="30">
        <v>0.71180555555555558</v>
      </c>
    </row>
    <row r="125" spans="1:10" ht="25.2" x14ac:dyDescent="0.2">
      <c r="A125" s="22">
        <v>46142</v>
      </c>
      <c r="B125" s="22" t="s">
        <v>20</v>
      </c>
      <c r="C125" s="27" t="s">
        <v>125</v>
      </c>
      <c r="D125" s="27"/>
      <c r="E125" s="27" t="s">
        <v>62</v>
      </c>
      <c r="F125" s="27" t="s">
        <v>15</v>
      </c>
      <c r="G125" s="28" t="s">
        <v>221</v>
      </c>
      <c r="H125" s="29">
        <f t="shared" si="1"/>
        <v>1.4583333333333337E-2</v>
      </c>
      <c r="I125" s="30">
        <v>0.33333333333333331</v>
      </c>
      <c r="J125" s="30">
        <v>0.34791666666666665</v>
      </c>
    </row>
    <row r="126" spans="1:10" ht="25.2" x14ac:dyDescent="0.2">
      <c r="A126" s="22">
        <v>46142</v>
      </c>
      <c r="B126" s="22" t="s">
        <v>20</v>
      </c>
      <c r="C126" s="27" t="s">
        <v>125</v>
      </c>
      <c r="D126" s="27"/>
      <c r="E126" s="27" t="s">
        <v>33</v>
      </c>
      <c r="F126" s="27" t="s">
        <v>15</v>
      </c>
      <c r="G126" s="28" t="s">
        <v>256</v>
      </c>
      <c r="H126" s="29">
        <f t="shared" si="1"/>
        <v>6.8750000000000033E-2</v>
      </c>
      <c r="I126" s="30">
        <v>0.34791666666666665</v>
      </c>
      <c r="J126" s="30">
        <v>0.41666666666666669</v>
      </c>
    </row>
    <row r="127" spans="1:10" ht="37.799999999999997" x14ac:dyDescent="0.2">
      <c r="A127" s="22">
        <v>46142</v>
      </c>
      <c r="B127" s="22" t="s">
        <v>20</v>
      </c>
      <c r="C127" s="27" t="s">
        <v>125</v>
      </c>
      <c r="D127" s="27"/>
      <c r="E127" s="27" t="s">
        <v>62</v>
      </c>
      <c r="F127" s="27" t="s">
        <v>15</v>
      </c>
      <c r="G127" s="28" t="s">
        <v>258</v>
      </c>
      <c r="H127" s="29">
        <f t="shared" si="1"/>
        <v>4.2361111111111072E-2</v>
      </c>
      <c r="I127" s="30">
        <v>0.41666666666666669</v>
      </c>
      <c r="J127" s="30">
        <v>0.45902777777777776</v>
      </c>
    </row>
    <row r="128" spans="1:10" ht="25.2" x14ac:dyDescent="0.2">
      <c r="A128" s="22">
        <v>46142</v>
      </c>
      <c r="B128" s="22" t="s">
        <v>20</v>
      </c>
      <c r="C128" s="27" t="s">
        <v>125</v>
      </c>
      <c r="D128" s="27"/>
      <c r="E128" s="27" t="s">
        <v>33</v>
      </c>
      <c r="F128" s="27" t="s">
        <v>15</v>
      </c>
      <c r="G128" s="28" t="s">
        <v>256</v>
      </c>
      <c r="H128" s="29">
        <f t="shared" si="1"/>
        <v>6.1805555555555614E-2</v>
      </c>
      <c r="I128" s="30">
        <v>0.45902777777777776</v>
      </c>
      <c r="J128" s="30">
        <v>0.52083333333333337</v>
      </c>
    </row>
    <row r="129" spans="1:10" ht="25.2" x14ac:dyDescent="0.2">
      <c r="A129" s="22">
        <v>46142</v>
      </c>
      <c r="B129" s="22" t="s">
        <v>20</v>
      </c>
      <c r="C129" s="27" t="s">
        <v>125</v>
      </c>
      <c r="D129" s="27"/>
      <c r="E129" s="27" t="s">
        <v>33</v>
      </c>
      <c r="F129" s="27" t="s">
        <v>15</v>
      </c>
      <c r="G129" s="28" t="s">
        <v>259</v>
      </c>
      <c r="H129" s="29">
        <f t="shared" si="1"/>
        <v>4.166666666666663E-2</v>
      </c>
      <c r="I129" s="30">
        <v>0.5625</v>
      </c>
      <c r="J129" s="30">
        <v>0.60416666666666663</v>
      </c>
    </row>
    <row r="130" spans="1:10" ht="37.799999999999997" x14ac:dyDescent="0.2">
      <c r="A130" s="22">
        <v>46142</v>
      </c>
      <c r="B130" s="22" t="s">
        <v>20</v>
      </c>
      <c r="C130" s="27" t="s">
        <v>125</v>
      </c>
      <c r="D130" s="27"/>
      <c r="E130" s="27" t="s">
        <v>62</v>
      </c>
      <c r="F130" s="27" t="s">
        <v>15</v>
      </c>
      <c r="G130" s="28" t="s">
        <v>249</v>
      </c>
      <c r="H130" s="29">
        <f t="shared" si="1"/>
        <v>6.25E-2</v>
      </c>
      <c r="I130" s="30">
        <v>0.60416666666666663</v>
      </c>
      <c r="J130" s="30">
        <v>0.66666666666666663</v>
      </c>
    </row>
    <row r="131" spans="1:10" x14ac:dyDescent="0.2">
      <c r="A131" s="22">
        <v>46142</v>
      </c>
      <c r="B131" s="22" t="s">
        <v>20</v>
      </c>
      <c r="C131" s="27" t="s">
        <v>125</v>
      </c>
      <c r="D131" s="27"/>
      <c r="E131" s="27" t="s">
        <v>62</v>
      </c>
      <c r="F131" s="27" t="s">
        <v>15</v>
      </c>
      <c r="G131" s="28" t="s">
        <v>260</v>
      </c>
      <c r="H131" s="29">
        <f t="shared" si="1"/>
        <v>4.9305555555555602E-2</v>
      </c>
      <c r="I131" s="30">
        <v>0.66666666666666663</v>
      </c>
      <c r="J131" s="30">
        <v>0.71597222222222223</v>
      </c>
    </row>
    <row r="132" spans="1:10" ht="13.95" customHeight="1" thickBot="1" x14ac:dyDescent="0.25">
      <c r="A132" s="46"/>
      <c r="B132" s="46"/>
      <c r="G132" s="40"/>
      <c r="H132" s="64"/>
      <c r="I132" s="65"/>
      <c r="J132" s="65"/>
    </row>
    <row r="133" spans="1:10" ht="13.95" customHeight="1" x14ac:dyDescent="0.25">
      <c r="A133" s="4"/>
      <c r="B133" s="4"/>
      <c r="C133" s="5"/>
      <c r="D133" s="6"/>
      <c r="E133" s="7" t="s">
        <v>21</v>
      </c>
      <c r="F133" s="8">
        <v>152</v>
      </c>
      <c r="H133" s="40"/>
    </row>
    <row r="134" spans="1:10" ht="13.95" customHeight="1" thickBot="1" x14ac:dyDescent="0.3">
      <c r="A134" s="4"/>
      <c r="B134" s="4"/>
      <c r="C134" s="9"/>
      <c r="D134" s="2"/>
      <c r="E134" s="10" t="s">
        <v>22</v>
      </c>
      <c r="F134" s="11">
        <v>19</v>
      </c>
      <c r="H134" s="40"/>
    </row>
    <row r="135" spans="1:10" ht="13.95" customHeight="1" thickBot="1" x14ac:dyDescent="0.3">
      <c r="A135" s="125" t="s">
        <v>23</v>
      </c>
      <c r="B135" s="125"/>
      <c r="C135" s="125"/>
      <c r="D135" s="12"/>
      <c r="E135" s="2"/>
      <c r="F135" s="2"/>
      <c r="H135" s="40"/>
    </row>
    <row r="136" spans="1:10" ht="13.8" x14ac:dyDescent="0.25">
      <c r="A136" s="13"/>
      <c r="B136" s="13"/>
      <c r="C136" s="6"/>
      <c r="D136" s="6"/>
      <c r="E136" s="14" t="s">
        <v>24</v>
      </c>
      <c r="F136" s="15">
        <f>SUMIF(F9:F131,"Billable",H9:H131)</f>
        <v>0</v>
      </c>
      <c r="H136" s="38"/>
    </row>
    <row r="137" spans="1:10" ht="15" customHeight="1" thickBot="1" x14ac:dyDescent="0.3">
      <c r="A137" s="126" t="s">
        <v>25</v>
      </c>
      <c r="B137" s="126"/>
      <c r="C137" s="126"/>
      <c r="D137" s="16"/>
      <c r="E137" s="17" t="s">
        <v>26</v>
      </c>
      <c r="F137" s="18">
        <f>SUMIF(F9:F131,"Non-Billable",H9:H131)</f>
        <v>7.6513888888888921</v>
      </c>
      <c r="H137" s="40"/>
    </row>
    <row r="138" spans="1:10" ht="14.4" thickBot="1" x14ac:dyDescent="0.3">
      <c r="A138" s="2"/>
      <c r="B138" s="2"/>
      <c r="C138" s="2"/>
      <c r="D138" s="2"/>
      <c r="E138" s="19" t="s">
        <v>27</v>
      </c>
      <c r="F138" s="44">
        <f>F136+F137</f>
        <v>7.6513888888888921</v>
      </c>
      <c r="H138" s="40"/>
    </row>
    <row r="139" spans="1:10" ht="13.8" thickBot="1" x14ac:dyDescent="0.3">
      <c r="A139" s="2"/>
      <c r="B139" s="2"/>
      <c r="C139" s="2"/>
      <c r="D139" s="2"/>
      <c r="E139" s="2"/>
      <c r="F139" s="2"/>
      <c r="H139" s="40"/>
    </row>
    <row r="140" spans="1:10" ht="13.8" thickBot="1" x14ac:dyDescent="0.3">
      <c r="A140" s="2"/>
      <c r="B140" s="2"/>
      <c r="C140" s="2"/>
      <c r="D140" s="2"/>
      <c r="E140" s="20" t="s">
        <v>28</v>
      </c>
      <c r="F140" s="21"/>
      <c r="H140" s="40"/>
    </row>
    <row r="141" spans="1:10" ht="13.2" thickBot="1" x14ac:dyDescent="0.25">
      <c r="E141" s="39"/>
      <c r="H141" s="40"/>
    </row>
  </sheetData>
  <mergeCells count="2">
    <mergeCell ref="A135:C135"/>
    <mergeCell ref="A137:C137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41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33:E133 D135:E137 E140">
    <cfRule type="containsText" dxfId="86" priority="3" operator="containsText" text="Religious Leave">
      <formula>NOT(ISERROR(SEARCH("Religious Leave",D133)))</formula>
    </cfRule>
    <cfRule type="containsText" dxfId="85" priority="4" operator="containsText" text="Birthday Leave">
      <formula>NOT(ISERROR(SEARCH("Birthday Leave",D133)))</formula>
    </cfRule>
    <cfRule type="containsText" dxfId="84" priority="5" operator="containsText" text="Study Leave">
      <formula>NOT(ISERROR(SEARCH("Study Leave",D133)))</formula>
    </cfRule>
    <cfRule type="containsText" dxfId="83" priority="6" operator="containsText" text="Family Responsibility Leave">
      <formula>NOT(ISERROR(SEARCH("Family Responsibility Leave",D133)))</formula>
    </cfRule>
    <cfRule type="containsText" dxfId="82" priority="7" operator="containsText" text="Sick Leave">
      <formula>NOT(ISERROR(SEARCH("Sick Leave",D133)))</formula>
    </cfRule>
    <cfRule type="containsText" dxfId="81" priority="8" operator="containsText" text="Annual Leave">
      <formula>NOT(ISERROR(SEARCH("Annual Leave",D133)))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J58 I59:J132 I9:J57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F9:F132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E9:E132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9"/>
  <sheetViews>
    <sheetView zoomScale="60" zoomScaleNormal="60" workbookViewId="0">
      <selection activeCell="A16" activeCellId="3" sqref="A33:A37 A26:A30 A19:A23 A12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47">
        <v>46143</v>
      </c>
      <c r="B9" s="47" t="s">
        <v>11</v>
      </c>
      <c r="C9" s="48" t="s">
        <v>125</v>
      </c>
      <c r="D9" s="48"/>
      <c r="E9" s="48" t="s">
        <v>89</v>
      </c>
      <c r="F9" s="48" t="s">
        <v>15</v>
      </c>
      <c r="G9" s="49" t="s">
        <v>180</v>
      </c>
      <c r="H9" s="50">
        <f t="shared" ref="H9:H39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14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16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17</v>
      </c>
      <c r="C12" s="27" t="s">
        <v>125</v>
      </c>
      <c r="D12" s="27" t="s">
        <v>106</v>
      </c>
      <c r="E12" s="27" t="s">
        <v>31</v>
      </c>
      <c r="F12" s="27" t="s">
        <v>13</v>
      </c>
      <c r="G12" s="28" t="s">
        <v>107</v>
      </c>
      <c r="H12" s="29">
        <f t="shared" si="0"/>
        <v>0.33333333333333331</v>
      </c>
      <c r="I12" s="30">
        <v>0.33333333333333331</v>
      </c>
      <c r="J12" s="30">
        <v>0.66666666666666663</v>
      </c>
    </row>
    <row r="13" spans="1:10" x14ac:dyDescent="0.2">
      <c r="A13" s="22">
        <v>46147</v>
      </c>
      <c r="B13" s="22" t="s">
        <v>18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x14ac:dyDescent="0.2">
      <c r="A14" s="22">
        <v>46148</v>
      </c>
      <c r="B14" s="22" t="s">
        <v>19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x14ac:dyDescent="0.2">
      <c r="A15" s="22">
        <v>46149</v>
      </c>
      <c r="B15" s="22" t="s">
        <v>20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x14ac:dyDescent="0.2">
      <c r="A16" s="22">
        <v>46150</v>
      </c>
      <c r="B16" s="22" t="s">
        <v>11</v>
      </c>
      <c r="C16" s="27"/>
      <c r="D16" s="27"/>
      <c r="E16" s="27"/>
      <c r="F16" s="27"/>
      <c r="G16" s="28"/>
      <c r="H16" s="29">
        <f t="shared" si="0"/>
        <v>0</v>
      </c>
      <c r="I16" s="30"/>
      <c r="J16" s="30"/>
    </row>
    <row r="17" spans="1:10" x14ac:dyDescent="0.2">
      <c r="A17" s="31">
        <v>46151</v>
      </c>
      <c r="B17" s="31" t="s">
        <v>14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16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17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x14ac:dyDescent="0.2">
      <c r="A20" s="22">
        <v>46154</v>
      </c>
      <c r="B20" s="22" t="s">
        <v>18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x14ac:dyDescent="0.2">
      <c r="A21" s="22">
        <v>46155</v>
      </c>
      <c r="B21" s="22" t="s">
        <v>19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x14ac:dyDescent="0.2">
      <c r="A22" s="22">
        <v>46156</v>
      </c>
      <c r="B22" s="22" t="s">
        <v>20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x14ac:dyDescent="0.2">
      <c r="A23" s="22">
        <v>46157</v>
      </c>
      <c r="B23" s="22" t="s">
        <v>11</v>
      </c>
      <c r="C23" s="27"/>
      <c r="D23" s="27"/>
      <c r="E23" s="27"/>
      <c r="F23" s="27"/>
      <c r="G23" s="28"/>
      <c r="H23" s="29">
        <f t="shared" si="0"/>
        <v>0</v>
      </c>
      <c r="I23" s="30"/>
      <c r="J23" s="30"/>
    </row>
    <row r="24" spans="1:10" x14ac:dyDescent="0.2">
      <c r="A24" s="31">
        <v>46158</v>
      </c>
      <c r="B24" s="31" t="s">
        <v>14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x14ac:dyDescent="0.2">
      <c r="A25" s="31">
        <v>46159</v>
      </c>
      <c r="B25" s="31" t="s">
        <v>16</v>
      </c>
      <c r="C25" s="32"/>
      <c r="D25" s="32"/>
      <c r="E25" s="32"/>
      <c r="F25" s="32"/>
      <c r="G25" s="33"/>
      <c r="H25" s="34">
        <f t="shared" si="0"/>
        <v>0</v>
      </c>
      <c r="I25" s="35"/>
      <c r="J25" s="35"/>
    </row>
    <row r="26" spans="1:10" x14ac:dyDescent="0.2">
      <c r="A26" s="22">
        <v>46160</v>
      </c>
      <c r="B26" s="22" t="s">
        <v>17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x14ac:dyDescent="0.2">
      <c r="A27" s="22">
        <v>46161</v>
      </c>
      <c r="B27" s="22" t="s">
        <v>18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x14ac:dyDescent="0.2">
      <c r="A28" s="22">
        <v>46162</v>
      </c>
      <c r="B28" s="22" t="s">
        <v>19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x14ac:dyDescent="0.2">
      <c r="A29" s="22">
        <v>46163</v>
      </c>
      <c r="B29" s="22" t="s">
        <v>20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x14ac:dyDescent="0.2">
      <c r="A30" s="22">
        <v>46164</v>
      </c>
      <c r="B30" s="22" t="s">
        <v>11</v>
      </c>
      <c r="C30" s="27"/>
      <c r="D30" s="27"/>
      <c r="E30" s="27"/>
      <c r="F30" s="27"/>
      <c r="G30" s="28"/>
      <c r="H30" s="29">
        <f t="shared" si="0"/>
        <v>0</v>
      </c>
      <c r="I30" s="30"/>
      <c r="J30" s="30"/>
    </row>
    <row r="31" spans="1:10" x14ac:dyDescent="0.2">
      <c r="A31" s="31">
        <v>46165</v>
      </c>
      <c r="B31" s="31" t="s">
        <v>14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x14ac:dyDescent="0.2">
      <c r="A32" s="31">
        <v>46166</v>
      </c>
      <c r="B32" s="31" t="s">
        <v>16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x14ac:dyDescent="0.2">
      <c r="A33" s="22">
        <v>46167</v>
      </c>
      <c r="B33" s="22" t="s">
        <v>17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x14ac:dyDescent="0.2">
      <c r="A34" s="22">
        <v>46168</v>
      </c>
      <c r="B34" s="22" t="s">
        <v>18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x14ac:dyDescent="0.2">
      <c r="A35" s="22">
        <v>46169</v>
      </c>
      <c r="B35" s="22" t="s">
        <v>19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x14ac:dyDescent="0.2">
      <c r="A36" s="22">
        <v>46170</v>
      </c>
      <c r="B36" s="22" t="s">
        <v>20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x14ac:dyDescent="0.2">
      <c r="A37" s="22">
        <v>46171</v>
      </c>
      <c r="B37" s="22" t="s">
        <v>11</v>
      </c>
      <c r="C37" s="27"/>
      <c r="D37" s="27"/>
      <c r="E37" s="27"/>
      <c r="F37" s="27"/>
      <c r="G37" s="28"/>
      <c r="H37" s="29">
        <f t="shared" si="0"/>
        <v>0</v>
      </c>
      <c r="I37" s="30"/>
      <c r="J37" s="30"/>
    </row>
    <row r="38" spans="1:10" x14ac:dyDescent="0.2">
      <c r="A38" s="31">
        <v>46172</v>
      </c>
      <c r="B38" s="31" t="s">
        <v>14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5" customHeight="1" x14ac:dyDescent="0.25">
      <c r="A39" s="31">
        <v>46173</v>
      </c>
      <c r="B39" s="31" t="s">
        <v>16</v>
      </c>
      <c r="C39" s="32"/>
      <c r="D39" s="97"/>
      <c r="E39" s="97"/>
      <c r="F39" s="32"/>
      <c r="G39" s="97"/>
      <c r="H39" s="34">
        <f t="shared" si="0"/>
        <v>0</v>
      </c>
      <c r="I39" s="98"/>
      <c r="J39" s="32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1 D43:E45 E48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46174</v>
      </c>
      <c r="B9" s="22" t="s">
        <v>17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18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19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20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11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14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16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17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18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19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20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11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14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16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17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18</v>
      </c>
      <c r="C24" s="48" t="s">
        <v>125</v>
      </c>
      <c r="D24" s="48"/>
      <c r="E24" s="48" t="s">
        <v>89</v>
      </c>
      <c r="F24" s="48" t="s">
        <v>15</v>
      </c>
      <c r="G24" s="49" t="s">
        <v>181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19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20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11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14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16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17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18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19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20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11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14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16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17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18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46204</v>
      </c>
      <c r="B9" s="22" t="s">
        <v>19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20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11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14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16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17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18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19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20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11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14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16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17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18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19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20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11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14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16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17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18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19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20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11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14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16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17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18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19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20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11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23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31">
        <v>46235</v>
      </c>
      <c r="B9" s="31" t="s">
        <v>14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16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17</v>
      </c>
      <c r="C11" s="27" t="s">
        <v>125</v>
      </c>
      <c r="D11" s="27" t="s">
        <v>106</v>
      </c>
      <c r="E11" s="27" t="s">
        <v>31</v>
      </c>
      <c r="F11" s="27" t="s">
        <v>13</v>
      </c>
      <c r="G11" s="28" t="s">
        <v>107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18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19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20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11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14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16</v>
      </c>
      <c r="C17" s="32"/>
      <c r="D17" s="32"/>
      <c r="E17" s="32"/>
      <c r="F17" s="32"/>
      <c r="G17" s="33" t="s">
        <v>182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17</v>
      </c>
      <c r="C18" s="48" t="s">
        <v>125</v>
      </c>
      <c r="D18" s="48"/>
      <c r="E18" s="48" t="s">
        <v>89</v>
      </c>
      <c r="F18" s="48" t="s">
        <v>15</v>
      </c>
      <c r="G18" s="49" t="s">
        <v>199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18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19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20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11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14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16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17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18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19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20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11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14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16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17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18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19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20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11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14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16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17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21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22</v>
      </c>
      <c r="F42" s="11">
        <v>20</v>
      </c>
      <c r="H42" s="40"/>
    </row>
    <row r="43" spans="1:10" ht="13.95" customHeight="1" thickBot="1" x14ac:dyDescent="0.3">
      <c r="A43" s="125" t="s">
        <v>23</v>
      </c>
      <c r="B43" s="125"/>
      <c r="C43" s="125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24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6" t="s">
        <v>25</v>
      </c>
      <c r="B45" s="126"/>
      <c r="C45" s="126"/>
      <c r="D45" s="16"/>
      <c r="E45" s="17" t="s">
        <v>26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27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28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2</v>
      </c>
      <c r="B5" s="23" t="s">
        <v>106</v>
      </c>
      <c r="C5" s="37"/>
      <c r="H5" s="40"/>
    </row>
    <row r="6" spans="1:10" x14ac:dyDescent="0.2">
      <c r="A6" s="37" t="s">
        <v>93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0</v>
      </c>
      <c r="B8" s="25" t="s">
        <v>1</v>
      </c>
      <c r="C8" s="25" t="s">
        <v>3</v>
      </c>
      <c r="D8" s="25" t="s">
        <v>4</v>
      </c>
      <c r="E8" s="25" t="s">
        <v>5</v>
      </c>
      <c r="F8" s="25" t="s">
        <v>6</v>
      </c>
      <c r="G8" s="42" t="s">
        <v>7</v>
      </c>
      <c r="H8" s="26" t="s">
        <v>8</v>
      </c>
      <c r="I8" s="26" t="s">
        <v>9</v>
      </c>
      <c r="J8" s="43" t="s">
        <v>10</v>
      </c>
    </row>
    <row r="9" spans="1:10" x14ac:dyDescent="0.2">
      <c r="A9" s="22">
        <v>46266</v>
      </c>
      <c r="B9" s="22" t="s">
        <v>18</v>
      </c>
      <c r="C9" s="27" t="s">
        <v>125</v>
      </c>
      <c r="D9" s="27" t="s">
        <v>106</v>
      </c>
      <c r="E9" s="27" t="s">
        <v>31</v>
      </c>
      <c r="F9" s="27" t="s">
        <v>13</v>
      </c>
      <c r="G9" s="28" t="s">
        <v>107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19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20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11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14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16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17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18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19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20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11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14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16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17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18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19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20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11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14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16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17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18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19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20</v>
      </c>
      <c r="C32" s="48" t="s">
        <v>125</v>
      </c>
      <c r="D32" s="48"/>
      <c r="E32" s="48" t="s">
        <v>89</v>
      </c>
      <c r="F32" s="48" t="s">
        <v>15</v>
      </c>
      <c r="G32" s="49" t="s">
        <v>183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11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14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16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17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18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19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21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22</v>
      </c>
      <c r="F41" s="11">
        <v>21</v>
      </c>
      <c r="H41" s="40"/>
    </row>
    <row r="42" spans="1:10" ht="13.95" customHeight="1" thickBot="1" x14ac:dyDescent="0.3">
      <c r="A42" s="125" t="s">
        <v>23</v>
      </c>
      <c r="B42" s="125"/>
      <c r="C42" s="125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24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6" t="s">
        <v>25</v>
      </c>
      <c r="B44" s="126"/>
      <c r="C44" s="126"/>
      <c r="D44" s="16"/>
      <c r="E44" s="17" t="s">
        <v>26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27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28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296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2</v>
      </c>
      <c r="B5" s="23" t="s">
        <v>106</v>
      </c>
      <c r="C5" s="86"/>
      <c r="D5" s="86"/>
      <c r="E5" s="86"/>
      <c r="F5" s="86"/>
    </row>
    <row r="6" spans="1:15" x14ac:dyDescent="0.2">
      <c r="A6" s="79" t="s">
        <v>165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35" t="s">
        <v>166</v>
      </c>
      <c r="B8" s="135"/>
      <c r="C8" s="135"/>
      <c r="D8" s="135"/>
      <c r="E8" s="135"/>
      <c r="F8" s="135"/>
    </row>
    <row r="9" spans="1:15" ht="13.5" customHeight="1" thickBot="1" x14ac:dyDescent="0.25">
      <c r="A9" s="82" t="s">
        <v>170</v>
      </c>
      <c r="B9" s="138" t="s">
        <v>167</v>
      </c>
      <c r="C9" s="139"/>
      <c r="D9" s="138" t="s">
        <v>94</v>
      </c>
      <c r="E9" s="139"/>
      <c r="F9" s="83" t="s">
        <v>95</v>
      </c>
    </row>
    <row r="10" spans="1:15" x14ac:dyDescent="0.2">
      <c r="A10" s="78">
        <v>46113</v>
      </c>
      <c r="B10" s="129" t="s">
        <v>168</v>
      </c>
      <c r="C10" s="129"/>
      <c r="D10" s="129" t="s">
        <v>123</v>
      </c>
      <c r="E10" s="129"/>
      <c r="F10" s="77">
        <v>200</v>
      </c>
      <c r="G10" s="136" t="s">
        <v>169</v>
      </c>
      <c r="H10" s="137"/>
      <c r="I10" s="137"/>
      <c r="J10" s="137"/>
      <c r="K10" s="137"/>
      <c r="L10" s="137"/>
      <c r="M10" s="137"/>
      <c r="N10" s="137"/>
      <c r="O10" s="137"/>
    </row>
    <row r="11" spans="1:15" x14ac:dyDescent="0.2">
      <c r="A11" s="78">
        <v>46113</v>
      </c>
      <c r="B11" s="127" t="s">
        <v>171</v>
      </c>
      <c r="C11" s="128"/>
      <c r="D11" s="129" t="s">
        <v>128</v>
      </c>
      <c r="E11" s="129"/>
      <c r="F11" s="77"/>
    </row>
    <row r="12" spans="1:15" x14ac:dyDescent="0.2">
      <c r="A12" s="78">
        <v>46113</v>
      </c>
      <c r="B12" s="127" t="s">
        <v>172</v>
      </c>
      <c r="C12" s="128"/>
      <c r="D12" s="129"/>
      <c r="E12" s="129"/>
      <c r="F12" s="77"/>
    </row>
    <row r="13" spans="1:15" x14ac:dyDescent="0.2">
      <c r="A13" s="78">
        <v>46113</v>
      </c>
      <c r="B13" s="127"/>
      <c r="C13" s="128"/>
      <c r="D13" s="129"/>
      <c r="E13" s="129"/>
      <c r="F13" s="77"/>
    </row>
    <row r="14" spans="1:15" x14ac:dyDescent="0.2">
      <c r="A14" s="78">
        <v>46113</v>
      </c>
      <c r="B14" s="127"/>
      <c r="C14" s="128"/>
      <c r="D14" s="129"/>
      <c r="E14" s="129"/>
      <c r="F14" s="77"/>
    </row>
    <row r="15" spans="1:15" x14ac:dyDescent="0.2">
      <c r="A15" s="78">
        <v>46113</v>
      </c>
      <c r="B15" s="133"/>
      <c r="C15" s="134"/>
      <c r="D15" s="129"/>
      <c r="E15" s="129"/>
      <c r="F15" s="77"/>
    </row>
    <row r="16" spans="1:15" ht="13.2" thickBot="1" x14ac:dyDescent="0.25">
      <c r="A16" s="78">
        <v>46113</v>
      </c>
      <c r="B16" s="127"/>
      <c r="C16" s="128"/>
      <c r="D16" s="129"/>
      <c r="E16" s="129"/>
      <c r="F16" s="77"/>
    </row>
    <row r="17" spans="1:6" ht="13.5" customHeight="1" thickBot="1" x14ac:dyDescent="0.25">
      <c r="A17" s="130" t="s">
        <v>96</v>
      </c>
      <c r="B17" s="131"/>
      <c r="C17" s="131"/>
      <c r="D17" s="131"/>
      <c r="E17" s="132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G10:O10"/>
    <mergeCell ref="B9:C9"/>
    <mergeCell ref="D9:E9"/>
    <mergeCell ref="B10:C10"/>
    <mergeCell ref="D10:E10"/>
    <mergeCell ref="A8:F8"/>
    <mergeCell ref="B11:C11"/>
    <mergeCell ref="D11:E11"/>
    <mergeCell ref="B12:C12"/>
    <mergeCell ref="D12:E12"/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J36" sqref="J36"/>
    </sheetView>
  </sheetViews>
  <sheetFormatPr defaultColWidth="8.69921875" defaultRowHeight="12.6" x14ac:dyDescent="0.2"/>
  <cols>
    <col min="1" max="1" width="18.5" style="23" bestFit="1" customWidth="1"/>
    <col min="2" max="2" width="11.796875" style="23" customWidth="1"/>
    <col min="3" max="3" width="9.796875" style="23" customWidth="1"/>
    <col min="4" max="16384" width="8.69921875" style="23"/>
  </cols>
  <sheetData>
    <row r="4" spans="1:6" x14ac:dyDescent="0.2">
      <c r="A4" s="140"/>
      <c r="B4" s="140"/>
    </row>
    <row r="5" spans="1:6" x14ac:dyDescent="0.2">
      <c r="A5" s="37" t="s">
        <v>2</v>
      </c>
      <c r="B5" s="23" t="s">
        <v>207</v>
      </c>
    </row>
    <row r="6" spans="1:6" x14ac:dyDescent="0.2">
      <c r="A6" s="79" t="s">
        <v>174</v>
      </c>
      <c r="B6" s="123"/>
    </row>
    <row r="7" spans="1:6" x14ac:dyDescent="0.2">
      <c r="A7" s="95" t="s">
        <v>175</v>
      </c>
      <c r="B7" s="124"/>
    </row>
    <row r="8" spans="1:6" x14ac:dyDescent="0.2">
      <c r="A8" s="96"/>
      <c r="B8" s="85"/>
    </row>
    <row r="9" spans="1:6" ht="27.45" customHeight="1" x14ac:dyDescent="0.2">
      <c r="A9" s="153" t="s">
        <v>173</v>
      </c>
      <c r="B9" s="153"/>
      <c r="C9" s="153"/>
      <c r="D9" s="153"/>
      <c r="E9" s="153"/>
      <c r="F9" s="153"/>
    </row>
    <row r="10" spans="1:6" ht="25.2" x14ac:dyDescent="0.2">
      <c r="A10" s="87" t="s">
        <v>97</v>
      </c>
      <c r="B10" s="87" t="s">
        <v>98</v>
      </c>
      <c r="C10" s="87" t="s">
        <v>99</v>
      </c>
      <c r="D10" s="87" t="s">
        <v>100</v>
      </c>
      <c r="E10" s="87" t="s">
        <v>101</v>
      </c>
      <c r="F10" s="87" t="s">
        <v>102</v>
      </c>
    </row>
    <row r="11" spans="1:6" x14ac:dyDescent="0.2">
      <c r="A11" s="87" t="s">
        <v>81</v>
      </c>
      <c r="B11" s="117">
        <v>46161</v>
      </c>
      <c r="C11" s="117">
        <v>46162</v>
      </c>
      <c r="D11" s="87">
        <v>1</v>
      </c>
      <c r="E11" s="87"/>
      <c r="F11" s="87" t="s">
        <v>194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1</v>
      </c>
      <c r="E14" s="89"/>
      <c r="F14" s="91"/>
    </row>
    <row r="15" spans="1:6" ht="13.2" thickBot="1" x14ac:dyDescent="0.25">
      <c r="A15" s="144"/>
      <c r="B15" s="145"/>
      <c r="C15" s="145"/>
      <c r="D15" s="145"/>
      <c r="E15" s="145"/>
      <c r="F15" s="145"/>
    </row>
    <row r="16" spans="1:6" x14ac:dyDescent="0.2">
      <c r="A16" s="154" t="s">
        <v>103</v>
      </c>
      <c r="B16" s="155"/>
      <c r="C16" s="155"/>
      <c r="D16" s="155"/>
      <c r="E16" s="155"/>
      <c r="F16" s="156"/>
    </row>
    <row r="17" spans="1:6" x14ac:dyDescent="0.2">
      <c r="A17" s="141"/>
      <c r="B17" s="142"/>
      <c r="C17" s="142"/>
      <c r="D17" s="142"/>
      <c r="E17" s="142"/>
      <c r="F17" s="143"/>
    </row>
    <row r="18" spans="1:6" x14ac:dyDescent="0.2">
      <c r="A18" s="141"/>
      <c r="B18" s="142"/>
      <c r="C18" s="142"/>
      <c r="D18" s="142"/>
      <c r="E18" s="142"/>
      <c r="F18" s="143"/>
    </row>
    <row r="19" spans="1:6" ht="13.2" thickBot="1" x14ac:dyDescent="0.25">
      <c r="A19" s="144"/>
      <c r="B19" s="145"/>
      <c r="C19" s="145"/>
      <c r="D19" s="145"/>
      <c r="E19" s="145"/>
      <c r="F19" s="146"/>
    </row>
    <row r="20" spans="1:6" ht="13.2" thickBot="1" x14ac:dyDescent="0.25"/>
    <row r="21" spans="1:6" x14ac:dyDescent="0.2">
      <c r="A21" s="92" t="s">
        <v>0</v>
      </c>
      <c r="B21" s="147"/>
      <c r="C21" s="147"/>
      <c r="D21" s="147"/>
      <c r="E21" s="147"/>
      <c r="F21" s="148"/>
    </row>
    <row r="22" spans="1:6" x14ac:dyDescent="0.2">
      <c r="A22" s="93" t="s">
        <v>104</v>
      </c>
      <c r="B22" s="149"/>
      <c r="C22" s="149"/>
      <c r="D22" s="149"/>
      <c r="E22" s="149"/>
      <c r="F22" s="150"/>
    </row>
    <row r="23" spans="1:6" ht="13.2" thickBot="1" x14ac:dyDescent="0.25">
      <c r="A23" s="94" t="s">
        <v>105</v>
      </c>
      <c r="B23" s="151"/>
      <c r="C23" s="151"/>
      <c r="D23" s="151"/>
      <c r="E23" s="151"/>
      <c r="F23" s="152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296875" style="52" customWidth="1"/>
    <col min="5" max="5" width="8.69921875" style="52"/>
    <col min="6" max="6" width="21.796875" style="52" customWidth="1"/>
    <col min="7" max="16384" width="8.69921875" style="52"/>
  </cols>
  <sheetData>
    <row r="2" spans="2:10" ht="15" thickBot="1" x14ac:dyDescent="0.35">
      <c r="B2" s="66" t="s">
        <v>125</v>
      </c>
      <c r="D2" s="53" t="s">
        <v>114</v>
      </c>
      <c r="F2" s="52" t="s">
        <v>5</v>
      </c>
      <c r="H2" s="52" t="s">
        <v>29</v>
      </c>
      <c r="J2" s="53" t="s">
        <v>13</v>
      </c>
    </row>
    <row r="3" spans="2:10" x14ac:dyDescent="0.3">
      <c r="B3" s="66" t="s">
        <v>115</v>
      </c>
      <c r="D3" s="71" t="s">
        <v>30</v>
      </c>
      <c r="F3" s="55" t="s">
        <v>31</v>
      </c>
      <c r="H3" s="68" t="s">
        <v>112</v>
      </c>
      <c r="I3" s="99"/>
      <c r="J3" s="56" t="s">
        <v>15</v>
      </c>
    </row>
    <row r="4" spans="2:10" x14ac:dyDescent="0.3">
      <c r="B4" s="66" t="s">
        <v>126</v>
      </c>
      <c r="D4" s="54" t="s">
        <v>32</v>
      </c>
      <c r="F4" s="57" t="s">
        <v>33</v>
      </c>
      <c r="H4" s="101" t="s">
        <v>82</v>
      </c>
      <c r="I4" s="68"/>
      <c r="J4" s="58" t="s">
        <v>13</v>
      </c>
    </row>
    <row r="5" spans="2:10" x14ac:dyDescent="0.3">
      <c r="B5" s="66" t="s">
        <v>127</v>
      </c>
      <c r="D5" s="71" t="s">
        <v>35</v>
      </c>
      <c r="F5" s="59" t="s">
        <v>36</v>
      </c>
      <c r="H5" s="68" t="s">
        <v>77</v>
      </c>
      <c r="I5" s="100"/>
    </row>
    <row r="6" spans="2:10" x14ac:dyDescent="0.3">
      <c r="B6" s="66" t="s">
        <v>218</v>
      </c>
      <c r="D6" s="54" t="s">
        <v>38</v>
      </c>
      <c r="F6" s="57" t="s">
        <v>39</v>
      </c>
      <c r="H6" s="99" t="s">
        <v>47</v>
      </c>
      <c r="I6" s="101"/>
    </row>
    <row r="7" spans="2:10" x14ac:dyDescent="0.3">
      <c r="B7" s="66" t="s">
        <v>116</v>
      </c>
      <c r="D7" s="71" t="s">
        <v>40</v>
      </c>
      <c r="F7" s="59" t="s">
        <v>41</v>
      </c>
      <c r="H7" s="67" t="s">
        <v>12</v>
      </c>
      <c r="I7" s="102"/>
    </row>
    <row r="8" spans="2:10" x14ac:dyDescent="0.3">
      <c r="B8" s="66" t="s">
        <v>219</v>
      </c>
      <c r="D8" s="54" t="s">
        <v>43</v>
      </c>
      <c r="F8" s="57" t="s">
        <v>44</v>
      </c>
      <c r="H8" s="102" t="s">
        <v>131</v>
      </c>
      <c r="I8" s="99"/>
      <c r="J8" s="52" t="s">
        <v>124</v>
      </c>
    </row>
    <row r="9" spans="2:10" x14ac:dyDescent="0.3">
      <c r="B9" s="66" t="s">
        <v>129</v>
      </c>
      <c r="D9" s="71" t="s">
        <v>45</v>
      </c>
      <c r="F9" s="59" t="s">
        <v>46</v>
      </c>
      <c r="H9" s="103" t="s">
        <v>184</v>
      </c>
      <c r="I9" s="99"/>
      <c r="J9" s="52" t="s">
        <v>123</v>
      </c>
    </row>
    <row r="10" spans="2:10" x14ac:dyDescent="0.3">
      <c r="B10" s="66" t="s">
        <v>217</v>
      </c>
      <c r="D10" s="54" t="s">
        <v>48</v>
      </c>
      <c r="F10" s="57" t="s">
        <v>49</v>
      </c>
      <c r="H10" s="107" t="s">
        <v>205</v>
      </c>
      <c r="I10" s="102"/>
    </row>
    <row r="11" spans="2:10" x14ac:dyDescent="0.3">
      <c r="B11" s="66" t="s">
        <v>133</v>
      </c>
      <c r="D11" s="71" t="s">
        <v>50</v>
      </c>
      <c r="F11" s="59" t="s">
        <v>51</v>
      </c>
      <c r="H11" s="103" t="s">
        <v>34</v>
      </c>
      <c r="I11" s="102"/>
      <c r="J11" s="52" t="s">
        <v>120</v>
      </c>
    </row>
    <row r="12" spans="2:10" x14ac:dyDescent="0.3">
      <c r="B12" s="66" t="s">
        <v>136</v>
      </c>
      <c r="F12" s="57" t="s">
        <v>52</v>
      </c>
      <c r="H12" s="107" t="s">
        <v>206</v>
      </c>
      <c r="I12" s="103"/>
      <c r="J12" s="52" t="s">
        <v>121</v>
      </c>
    </row>
    <row r="13" spans="2:10" x14ac:dyDescent="0.3">
      <c r="B13" s="66" t="s">
        <v>132</v>
      </c>
      <c r="F13" s="59" t="s">
        <v>53</v>
      </c>
      <c r="H13" s="104" t="s">
        <v>134</v>
      </c>
      <c r="I13" s="103"/>
    </row>
    <row r="14" spans="2:10" x14ac:dyDescent="0.3">
      <c r="B14" s="66" t="s">
        <v>135</v>
      </c>
      <c r="D14" s="60"/>
      <c r="F14" s="57" t="s">
        <v>54</v>
      </c>
      <c r="H14" s="105" t="s">
        <v>137</v>
      </c>
      <c r="I14" s="104"/>
    </row>
    <row r="15" spans="2:10" x14ac:dyDescent="0.3">
      <c r="B15" s="66" t="s">
        <v>130</v>
      </c>
      <c r="D15" s="61"/>
      <c r="F15" s="59" t="s">
        <v>56</v>
      </c>
      <c r="H15" s="103" t="s">
        <v>138</v>
      </c>
      <c r="I15" s="103"/>
    </row>
    <row r="16" spans="2:10" x14ac:dyDescent="0.3">
      <c r="B16" s="66" t="s">
        <v>117</v>
      </c>
      <c r="D16" s="61"/>
      <c r="F16" s="57" t="s">
        <v>58</v>
      </c>
      <c r="H16" s="104" t="s">
        <v>203</v>
      </c>
      <c r="I16" s="105"/>
    </row>
    <row r="17" spans="2:9" x14ac:dyDescent="0.3">
      <c r="B17" s="66" t="s">
        <v>57</v>
      </c>
      <c r="D17" s="61"/>
      <c r="F17" s="59" t="s">
        <v>59</v>
      </c>
      <c r="H17" s="67" t="s">
        <v>61</v>
      </c>
      <c r="I17" s="103"/>
    </row>
    <row r="18" spans="2:9" x14ac:dyDescent="0.3">
      <c r="B18" s="66" t="s">
        <v>141</v>
      </c>
      <c r="D18" s="61"/>
      <c r="F18" s="57" t="s">
        <v>60</v>
      </c>
      <c r="H18" s="108" t="s">
        <v>140</v>
      </c>
      <c r="I18" s="105"/>
    </row>
    <row r="19" spans="2:9" x14ac:dyDescent="0.3">
      <c r="B19" s="66" t="s">
        <v>213</v>
      </c>
      <c r="D19" s="61"/>
      <c r="F19" s="59" t="s">
        <v>62</v>
      </c>
      <c r="H19" s="70" t="s">
        <v>198</v>
      </c>
      <c r="I19" s="106"/>
    </row>
    <row r="20" spans="2:9" x14ac:dyDescent="0.3">
      <c r="B20" s="66" t="s">
        <v>142</v>
      </c>
      <c r="D20" s="61"/>
      <c r="F20" s="57" t="s">
        <v>63</v>
      </c>
      <c r="H20" s="70" t="s">
        <v>108</v>
      </c>
      <c r="I20" s="104"/>
    </row>
    <row r="21" spans="2:9" x14ac:dyDescent="0.3">
      <c r="B21" s="66" t="s">
        <v>143</v>
      </c>
      <c r="D21" s="61"/>
      <c r="F21" s="59" t="s">
        <v>64</v>
      </c>
      <c r="H21" s="112" t="s">
        <v>74</v>
      </c>
      <c r="I21" s="102"/>
    </row>
    <row r="22" spans="2:9" ht="27.6" x14ac:dyDescent="0.3">
      <c r="B22" s="66" t="s">
        <v>139</v>
      </c>
      <c r="D22" s="61"/>
      <c r="F22" s="57" t="s">
        <v>66</v>
      </c>
      <c r="H22" s="118" t="s">
        <v>186</v>
      </c>
      <c r="I22" s="107"/>
    </row>
    <row r="23" spans="2:9" x14ac:dyDescent="0.3">
      <c r="B23" s="66" t="s">
        <v>216</v>
      </c>
      <c r="D23" s="61"/>
      <c r="F23" s="59" t="s">
        <v>68</v>
      </c>
      <c r="H23" s="110" t="s">
        <v>106</v>
      </c>
      <c r="I23" s="108"/>
    </row>
    <row r="24" spans="2:9" x14ac:dyDescent="0.3">
      <c r="B24" s="66" t="s">
        <v>118</v>
      </c>
      <c r="D24" s="61"/>
      <c r="F24" s="57" t="s">
        <v>69</v>
      </c>
      <c r="H24" s="70" t="s">
        <v>119</v>
      </c>
      <c r="I24" s="109"/>
    </row>
    <row r="25" spans="2:9" x14ac:dyDescent="0.3">
      <c r="B25" s="66" t="s">
        <v>144</v>
      </c>
      <c r="D25" s="61"/>
      <c r="F25" s="59" t="s">
        <v>70</v>
      </c>
      <c r="H25" s="112" t="s">
        <v>109</v>
      </c>
      <c r="I25" s="110"/>
    </row>
    <row r="26" spans="2:9" x14ac:dyDescent="0.3">
      <c r="B26" s="66" t="s">
        <v>145</v>
      </c>
      <c r="F26" s="57" t="s">
        <v>71</v>
      </c>
      <c r="H26" s="70" t="s">
        <v>113</v>
      </c>
    </row>
    <row r="27" spans="2:9" x14ac:dyDescent="0.3">
      <c r="B27" s="66" t="s">
        <v>146</v>
      </c>
      <c r="D27" s="61"/>
      <c r="F27" s="59" t="s">
        <v>72</v>
      </c>
      <c r="H27" s="109" t="s">
        <v>207</v>
      </c>
      <c r="I27" s="108"/>
    </row>
    <row r="28" spans="2:9" x14ac:dyDescent="0.3">
      <c r="B28" s="66" t="s">
        <v>148</v>
      </c>
      <c r="D28" s="61"/>
      <c r="F28" s="57" t="s">
        <v>73</v>
      </c>
      <c r="H28" s="112" t="s">
        <v>200</v>
      </c>
      <c r="I28" s="70"/>
    </row>
    <row r="29" spans="2:9" x14ac:dyDescent="0.3">
      <c r="B29" s="66" t="s">
        <v>197</v>
      </c>
      <c r="F29" s="59" t="s">
        <v>75</v>
      </c>
      <c r="H29" s="110" t="s">
        <v>42</v>
      </c>
      <c r="I29" s="111"/>
    </row>
    <row r="30" spans="2:9" x14ac:dyDescent="0.3">
      <c r="B30" s="66" t="s">
        <v>149</v>
      </c>
      <c r="F30" s="57" t="s">
        <v>76</v>
      </c>
      <c r="H30" s="69" t="s">
        <v>147</v>
      </c>
      <c r="I30" s="109"/>
    </row>
    <row r="31" spans="2:9" x14ac:dyDescent="0.3">
      <c r="B31" s="66" t="s">
        <v>150</v>
      </c>
      <c r="F31" s="59" t="s">
        <v>79</v>
      </c>
      <c r="H31" s="69" t="s">
        <v>185</v>
      </c>
    </row>
    <row r="32" spans="2:9" x14ac:dyDescent="0.3">
      <c r="B32" s="66" t="s">
        <v>78</v>
      </c>
      <c r="F32" s="57" t="s">
        <v>80</v>
      </c>
      <c r="H32" s="111" t="s">
        <v>187</v>
      </c>
      <c r="I32" s="110"/>
    </row>
    <row r="33" spans="2:9" x14ac:dyDescent="0.3">
      <c r="B33" s="66" t="s">
        <v>151</v>
      </c>
      <c r="F33" s="59" t="s">
        <v>81</v>
      </c>
      <c r="H33" s="119" t="s">
        <v>65</v>
      </c>
      <c r="I33" s="110"/>
    </row>
    <row r="34" spans="2:9" x14ac:dyDescent="0.3">
      <c r="B34" s="66" t="s">
        <v>83</v>
      </c>
      <c r="F34" s="57" t="s">
        <v>84</v>
      </c>
      <c r="H34" s="109" t="s">
        <v>208</v>
      </c>
      <c r="I34" s="69"/>
    </row>
    <row r="35" spans="2:9" x14ac:dyDescent="0.3">
      <c r="B35" s="66" t="s">
        <v>152</v>
      </c>
      <c r="F35" s="59" t="s">
        <v>85</v>
      </c>
      <c r="H35" s="114" t="s">
        <v>188</v>
      </c>
      <c r="I35" s="109"/>
    </row>
    <row r="36" spans="2:9" x14ac:dyDescent="0.3">
      <c r="B36" s="66" t="s">
        <v>215</v>
      </c>
      <c r="F36" s="57" t="s">
        <v>87</v>
      </c>
      <c r="H36" s="111" t="s">
        <v>189</v>
      </c>
      <c r="I36" s="102"/>
    </row>
    <row r="37" spans="2:9" x14ac:dyDescent="0.3">
      <c r="B37" s="66" t="s">
        <v>154</v>
      </c>
      <c r="F37" s="57" t="s">
        <v>88</v>
      </c>
      <c r="H37" s="112" t="s">
        <v>204</v>
      </c>
      <c r="I37" s="110"/>
    </row>
    <row r="38" spans="2:9" x14ac:dyDescent="0.3">
      <c r="B38" s="66" t="s">
        <v>155</v>
      </c>
      <c r="F38" s="57" t="s">
        <v>89</v>
      </c>
      <c r="H38" s="109" t="s">
        <v>209</v>
      </c>
      <c r="I38" s="109"/>
    </row>
    <row r="39" spans="2:9" ht="27.6" x14ac:dyDescent="0.3">
      <c r="B39" s="66" t="s">
        <v>157</v>
      </c>
      <c r="F39" s="57" t="s">
        <v>91</v>
      </c>
      <c r="H39" s="109" t="s">
        <v>190</v>
      </c>
      <c r="I39" s="111"/>
    </row>
    <row r="40" spans="2:9" x14ac:dyDescent="0.3">
      <c r="B40" s="66" t="s">
        <v>90</v>
      </c>
      <c r="F40" s="59" t="s">
        <v>214</v>
      </c>
      <c r="H40" s="69" t="s">
        <v>164</v>
      </c>
      <c r="I40" s="112"/>
    </row>
    <row r="41" spans="2:9" x14ac:dyDescent="0.3">
      <c r="B41" s="66" t="s">
        <v>196</v>
      </c>
      <c r="D41" s="63"/>
      <c r="H41" s="111" t="s">
        <v>191</v>
      </c>
      <c r="I41" s="112"/>
    </row>
    <row r="42" spans="2:9" x14ac:dyDescent="0.3">
      <c r="B42" s="66" t="s">
        <v>110</v>
      </c>
      <c r="H42" s="112" t="s">
        <v>153</v>
      </c>
      <c r="I42" s="109"/>
    </row>
    <row r="43" spans="2:9" x14ac:dyDescent="0.3">
      <c r="B43" s="66" t="s">
        <v>159</v>
      </c>
      <c r="H43" s="109" t="s">
        <v>192</v>
      </c>
      <c r="I43" s="111"/>
    </row>
    <row r="44" spans="2:9" x14ac:dyDescent="0.3">
      <c r="B44" s="121" t="s">
        <v>160</v>
      </c>
      <c r="H44" s="111" t="s">
        <v>193</v>
      </c>
    </row>
    <row r="45" spans="2:9" x14ac:dyDescent="0.3">
      <c r="H45" s="112" t="s">
        <v>201</v>
      </c>
      <c r="I45" s="110"/>
    </row>
    <row r="46" spans="2:9" x14ac:dyDescent="0.3">
      <c r="H46" s="70" t="s">
        <v>156</v>
      </c>
      <c r="I46" s="113"/>
    </row>
    <row r="47" spans="2:9" x14ac:dyDescent="0.3">
      <c r="B47" s="62"/>
      <c r="H47" s="112" t="s">
        <v>37</v>
      </c>
      <c r="I47" s="112"/>
    </row>
    <row r="48" spans="2:9" x14ac:dyDescent="0.3">
      <c r="H48" s="70" t="s">
        <v>158</v>
      </c>
      <c r="I48" s="112"/>
    </row>
    <row r="49" spans="8:9" x14ac:dyDescent="0.3">
      <c r="H49" s="109" t="s">
        <v>210</v>
      </c>
      <c r="I49" s="112"/>
    </row>
    <row r="50" spans="8:9" x14ac:dyDescent="0.3">
      <c r="H50" s="70" t="s">
        <v>55</v>
      </c>
      <c r="I50" s="112"/>
    </row>
    <row r="51" spans="8:9" x14ac:dyDescent="0.3">
      <c r="H51" s="69" t="s">
        <v>67</v>
      </c>
      <c r="I51" s="112"/>
    </row>
    <row r="52" spans="8:9" x14ac:dyDescent="0.3">
      <c r="H52" s="112" t="s">
        <v>111</v>
      </c>
    </row>
    <row r="53" spans="8:9" x14ac:dyDescent="0.3">
      <c r="H53" s="109" t="s">
        <v>211</v>
      </c>
      <c r="I53" s="112"/>
    </row>
    <row r="54" spans="8:9" x14ac:dyDescent="0.3">
      <c r="H54" s="69" t="s">
        <v>86</v>
      </c>
      <c r="I54" s="111"/>
    </row>
    <row r="55" spans="8:9" x14ac:dyDescent="0.3">
      <c r="H55" s="70" t="s">
        <v>202</v>
      </c>
      <c r="I55" s="111"/>
    </row>
    <row r="56" spans="8:9" x14ac:dyDescent="0.3">
      <c r="H56" s="109" t="s">
        <v>212</v>
      </c>
      <c r="I56" s="70"/>
    </row>
    <row r="57" spans="8:9" x14ac:dyDescent="0.3">
      <c r="H57" s="70" t="s">
        <v>195</v>
      </c>
      <c r="I57" s="112"/>
    </row>
    <row r="58" spans="8:9" x14ac:dyDescent="0.3">
      <c r="H58" s="70" t="s">
        <v>161</v>
      </c>
      <c r="I58" s="112"/>
    </row>
    <row r="59" spans="8:9" x14ac:dyDescent="0.3">
      <c r="H59" s="112" t="s">
        <v>162</v>
      </c>
      <c r="I59" s="115"/>
    </row>
    <row r="60" spans="8:9" x14ac:dyDescent="0.3">
      <c r="H60" s="115" t="s">
        <v>176</v>
      </c>
      <c r="I60" s="69"/>
    </row>
    <row r="61" spans="8:9" x14ac:dyDescent="0.3">
      <c r="H61" s="69" t="s">
        <v>122</v>
      </c>
      <c r="I61" s="110"/>
    </row>
    <row r="62" spans="8:9" x14ac:dyDescent="0.3">
      <c r="H62" s="69" t="s">
        <v>163</v>
      </c>
      <c r="I62" s="69"/>
    </row>
    <row r="63" spans="8:9" x14ac:dyDescent="0.3">
      <c r="H63" s="110" t="s">
        <v>92</v>
      </c>
    </row>
    <row r="64" spans="8:9" x14ac:dyDescent="0.3">
      <c r="H64" s="120" t="s">
        <v>220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4037CEB-E5D3-4F40-B93D-B68754BA7E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A7CA51-3876-42E5-9D60-4320955E597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445429-43EF-4578-A593-6E166DDD94D2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Jabulane Poulo</cp:lastModifiedBy>
  <dcterms:created xsi:type="dcterms:W3CDTF">2020-04-02T09:04:10Z</dcterms:created>
  <dcterms:modified xsi:type="dcterms:W3CDTF">2026-07-02T09:32:01Z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