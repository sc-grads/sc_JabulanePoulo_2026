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kpada\OneDrive - ADvTECH Ltd\Desktop\"/>
    </mc:Choice>
  </mc:AlternateContent>
  <xr:revisionPtr revIDLastSave="0" documentId="13_ncr:1_{0150ECE6-2735-4225-9CCA-62D681831A1C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0" l="1"/>
  <c r="H42" i="10"/>
  <c r="H41" i="10"/>
  <c r="H39" i="10"/>
  <c r="H37" i="10"/>
  <c r="H35" i="10"/>
  <c r="H9" i="6" l="1"/>
  <c r="H11" i="5"/>
  <c r="H9" i="3"/>
  <c r="F54" i="10"/>
  <c r="H11" i="10"/>
  <c r="H14" i="10"/>
  <c r="H12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49" i="10" l="1"/>
  <c r="H48" i="10"/>
  <c r="H47" i="10"/>
  <c r="H46" i="10"/>
  <c r="H45" i="10"/>
  <c r="H44" i="10"/>
  <c r="H40" i="10"/>
  <c r="H38" i="10"/>
  <c r="H36" i="10"/>
  <c r="H34" i="10"/>
  <c r="H32" i="10"/>
  <c r="H31" i="10"/>
  <c r="H30" i="10"/>
  <c r="H24" i="10"/>
  <c r="H23" i="10"/>
  <c r="H13" i="10"/>
  <c r="H31" i="3"/>
  <c r="F55" i="10" l="1"/>
  <c r="F56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<sst xmlns="http://schemas.openxmlformats.org/spreadsheetml/2006/main" count="617" uniqueCount="226">
  <si>
    <t>Consultant</t>
  </si>
  <si>
    <t xml:space="preserve">Kayden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</si>
  <si>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</si>
  <si>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</si>
  <si>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</si>
  <si>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</si>
  <si>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</si>
  <si>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</si>
  <si>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</si>
  <si>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</si>
  <si>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</si>
  <si>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</si>
  <si>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</si>
  <si>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</si>
  <si>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</si>
  <si>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Training</t>
  </si>
  <si>
    <t>Non-Billable</t>
  </si>
  <si>
    <t>Thursday</t>
  </si>
  <si>
    <t>Friday</t>
  </si>
  <si>
    <t>Public Holiday</t>
  </si>
  <si>
    <t>Saturday</t>
  </si>
  <si>
    <t>Sunday</t>
  </si>
  <si>
    <t>Monday</t>
  </si>
  <si>
    <t>Family Day</t>
  </si>
  <si>
    <t>Tuesday</t>
  </si>
  <si>
    <t>Attended Daily Standup.
Finished the report for Our Project.
Presented my work to clement.
Attended Mid-day check-in.</t>
  </si>
  <si>
    <t xml:space="preserve">Continued with github action course. 
I attended High Performers Retrospective meeting. </t>
  </si>
  <si>
    <t>Attended Daily Standup.
Continued with github actions coarse.
Attended Mid-day check-in.</t>
  </si>
  <si>
    <t>Continued with github action course.</t>
  </si>
  <si>
    <t>Attended a short meeting with my team to discuss our presentation.</t>
  </si>
  <si>
    <t xml:space="preserve">Continued with github action course. 
Started practicing my presentation for the project.
I attended High Performers Retrospective meeting. </t>
  </si>
  <si>
    <t xml:space="preserve">Freedom Day 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</si>
  <si>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</si>
  <si>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</si>
  <si>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</si>
  <si>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</si>
  <si>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</si>
  <si>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</si>
  <si>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</si>
  <si>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</si>
  <si>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</si>
  <si>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</si>
  <si>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</si>
  <si>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</si>
  <si>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</si>
  <si>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</si>
  <si>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</si>
  <si>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</si>
  <si>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</si>
  <si>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</si>
  <si>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</si>
  <si>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</si>
  <si>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</si>
  <si>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</si>
  <si>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</si>
  <si>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</si>
  <si>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</si>
  <si>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</si>
  <si>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</si>
  <si>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</si>
  <si>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</si>
  <si>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</si>
  <si>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</si>
  <si>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</si>
  <si>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</si>
  <si>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</si>
  <si>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</si>
  <si>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</si>
  <si>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</si>
  <si>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</si>
  <si>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</si>
  <si>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</si>
  <si>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</si>
  <si>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</si>
  <si>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</si>
  <si>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</si>
  <si>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</si>
  <si>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</si>
  <si>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</si>
  <si>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</si>
  <si>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</si>
  <si>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</si>
  <si>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</si>
  <si>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</si>
  <si>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</si>
  <si>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</si>
  <si>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</si>
  <si>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</si>
  <si>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</si>
  <si>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</si>
  <si>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</si>
  <si>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</si>
  <si>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</si>
  <si>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</si>
  <si>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</si>
  <si>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</si>
  <si>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</si>
  <si>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</si>
  <si>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</si>
  <si>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</si>
  <si>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</si>
  <si>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</si>
  <si>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</si>
  <si>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</si>
  <si>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</si>
  <si>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</si>
  <si>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</si>
  <si>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</si>
  <si>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</si>
  <si>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</si>
  <si>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</si>
  <si>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</si>
  <si>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</si>
  <si>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</si>
  <si>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</si>
  <si>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</si>
  <si>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</si>
  <si>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</si>
  <si>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</si>
  <si>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</si>
  <si>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</si>
  <si>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</si>
  <si>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</si>
  <si>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</si>
  <si>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</si>
  <si>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</si>
  <si>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</si>
  <si>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</si>
  <si>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</si>
  <si>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</si>
  <si>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</si>
  <si>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</si>
  <si>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</si>
  <si>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</si>
  <si>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</si>
  <si>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</si>
  <si>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</si>
  <si>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Meeting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</si>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</sst>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59"/>
  <sheetViews>
    <sheetView tabSelected="1" view="pageBreakPreview" topLeftCell="A37" zoomScale="96" zoomScaleNormal="75" workbookViewId="0">
      <selection activeCell="F43" sqref="F43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2">
        <f>F54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/>
      <c r="H9" s="29"/>
      <c r="I9" s="30"/>
      <c r="J9" s="30"/>
    </row>
    <row r="10" spans="1:10">
      <c r="A10" s="22">
        <v>46114</v>
      </c>
      <c r="B10" s="22" t="s">
        <v>17</v>
      </c>
      <c r="C10" s="27" t="s">
        <v>14</v>
      </c>
      <c r="D10" s="27"/>
      <c r="E10" s="27" t="s">
        <v>15</v>
      </c>
      <c r="F10" s="27" t="s">
        <v>16</v>
      </c>
      <c r="G10" s="28"/>
      <c r="H10" s="29"/>
      <c r="I10" s="30"/>
      <c r="J10" s="30"/>
    </row>
    <row r="11" spans="1:10">
      <c r="A11" s="47">
        <v>46115</v>
      </c>
      <c r="B11" s="47" t="s">
        <v>18</v>
      </c>
      <c r="C11" s="48" t="s">
        <v>14</v>
      </c>
      <c r="D11" s="48"/>
      <c r="E11" s="48" t="s">
        <v>19</v>
      </c>
      <c r="F11" s="48" t="s">
        <v>16</v>
      </c>
      <c r="G11" s="49"/>
      <c r="H11" s="50">
        <f t="shared" ref="H11:H49" si="0">J11-I11</f>
        <v>0.33333333333333331</v>
      </c>
      <c r="I11" s="51">
        <v>0.33333333333333331</v>
      </c>
      <c r="J11" s="51">
        <v>0.66666666666666663</v>
      </c>
    </row>
    <row r="12" spans="1:10">
      <c r="A12" s="31">
        <v>46116</v>
      </c>
      <c r="B12" s="31" t="s">
        <v>20</v>
      </c>
      <c r="C12" s="32"/>
      <c r="D12" s="32"/>
      <c r="E12" s="32"/>
      <c r="F12" s="32"/>
      <c r="G12" s="33"/>
      <c r="H12" s="34">
        <f t="shared" ref="H12" si="1">J12-I12</f>
        <v>0</v>
      </c>
      <c r="I12" s="35"/>
      <c r="J12" s="35"/>
    </row>
    <row r="13" spans="1:10">
      <c r="A13" s="31">
        <v>46117</v>
      </c>
      <c r="B13" s="31" t="s">
        <v>21</v>
      </c>
      <c r="C13" s="32"/>
      <c r="D13" s="32"/>
      <c r="E13" s="32"/>
      <c r="F13" s="32"/>
      <c r="G13" s="33"/>
      <c r="H13" s="34">
        <f t="shared" si="0"/>
        <v>0</v>
      </c>
      <c r="I13" s="35"/>
      <c r="J13" s="35"/>
    </row>
    <row r="14" spans="1:10">
      <c r="A14" s="47">
        <v>46118</v>
      </c>
      <c r="B14" s="47" t="s">
        <v>22</v>
      </c>
      <c r="C14" s="48" t="s">
        <v>14</v>
      </c>
      <c r="D14" s="48"/>
      <c r="E14" s="48" t="s">
        <v>19</v>
      </c>
      <c r="F14" s="48" t="s">
        <v>16</v>
      </c>
      <c r="G14" s="49" t="s">
        <v>23</v>
      </c>
      <c r="H14" s="50">
        <f t="shared" ref="H14" si="2">J14-I14</f>
        <v>0.33333333333333331</v>
      </c>
      <c r="I14" s="51">
        <v>0.33333333333333331</v>
      </c>
      <c r="J14" s="51">
        <v>0.66666666666666663</v>
      </c>
    </row>
    <row r="15" spans="1:10">
      <c r="A15" s="22">
        <v>46119</v>
      </c>
      <c r="B15" s="22" t="s">
        <v>24</v>
      </c>
      <c r="C15" s="27"/>
      <c r="D15" s="27"/>
      <c r="E15" s="27"/>
      <c r="F15" s="27"/>
      <c r="G15" s="28"/>
      <c r="H15" s="29"/>
      <c r="I15" s="30"/>
      <c r="J15" s="30"/>
    </row>
    <row r="16" spans="1:10">
      <c r="A16" s="22">
        <v>46119</v>
      </c>
      <c r="B16" s="22" t="s">
        <v>24</v>
      </c>
      <c r="C16" s="27"/>
      <c r="D16" s="27"/>
      <c r="E16" s="27"/>
      <c r="F16" s="27"/>
      <c r="G16" s="28"/>
      <c r="H16" s="29"/>
      <c r="I16" s="30"/>
      <c r="J16" s="30"/>
    </row>
    <row r="17" spans="1:10">
      <c r="A17" s="22">
        <v>46120</v>
      </c>
      <c r="B17" s="22" t="s">
        <v>13</v>
      </c>
      <c r="C17" s="27"/>
      <c r="D17" s="27"/>
      <c r="E17" s="27"/>
      <c r="F17" s="27"/>
      <c r="G17" s="28"/>
      <c r="H17" s="29"/>
      <c r="I17" s="30"/>
      <c r="J17" s="30"/>
    </row>
    <row r="18" spans="1:10">
      <c r="A18" s="22">
        <v>46119</v>
      </c>
      <c r="B18" s="22" t="s">
        <v>13</v>
      </c>
      <c r="C18" s="27"/>
      <c r="D18" s="27"/>
      <c r="E18" s="27"/>
      <c r="F18" s="27"/>
      <c r="G18" s="28"/>
      <c r="H18" s="29"/>
      <c r="I18" s="30"/>
      <c r="J18" s="30"/>
    </row>
    <row r="19" spans="1:10">
      <c r="A19" s="22">
        <v>46121</v>
      </c>
      <c r="B19" s="22" t="s">
        <v>17</v>
      </c>
      <c r="C19" s="27"/>
      <c r="D19" s="27"/>
      <c r="E19" s="27"/>
      <c r="F19" s="27"/>
      <c r="G19" s="28"/>
      <c r="H19" s="29"/>
      <c r="I19" s="30"/>
      <c r="J19" s="30"/>
    </row>
    <row r="20" spans="1:10">
      <c r="A20" s="22">
        <v>46121</v>
      </c>
      <c r="B20" s="22" t="s">
        <v>17</v>
      </c>
      <c r="C20" s="27"/>
      <c r="D20" s="27"/>
      <c r="E20" s="27"/>
      <c r="F20" s="27"/>
      <c r="G20" s="28"/>
      <c r="H20" s="29"/>
      <c r="I20" s="30"/>
      <c r="J20" s="30"/>
    </row>
    <row r="21" spans="1:10">
      <c r="A21" s="22">
        <v>46122</v>
      </c>
      <c r="B21" s="22" t="s">
        <v>18</v>
      </c>
      <c r="C21" s="27"/>
      <c r="D21" s="27"/>
      <c r="E21" s="27"/>
      <c r="F21" s="27"/>
      <c r="G21" s="28"/>
      <c r="H21" s="29"/>
      <c r="I21" s="30"/>
      <c r="J21" s="30"/>
    </row>
    <row r="22" spans="1:10">
      <c r="A22" s="22">
        <v>46122</v>
      </c>
      <c r="B22" s="22" t="s">
        <v>18</v>
      </c>
      <c r="C22" s="27"/>
      <c r="D22" s="27"/>
      <c r="E22" s="27"/>
      <c r="F22" s="27"/>
      <c r="G22" s="28"/>
      <c r="H22" s="29"/>
      <c r="I22" s="30"/>
      <c r="J22" s="30"/>
    </row>
    <row r="23" spans="1:10">
      <c r="A23" s="31">
        <v>46123</v>
      </c>
      <c r="B23" s="31" t="s">
        <v>20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>
      <c r="A24" s="31">
        <v>46124</v>
      </c>
      <c r="B24" s="31" t="s">
        <v>21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22">
        <v>46125</v>
      </c>
      <c r="B25" s="22" t="s">
        <v>22</v>
      </c>
      <c r="C25" s="27"/>
      <c r="D25" s="27"/>
      <c r="E25" s="27"/>
      <c r="F25" s="27"/>
      <c r="G25" s="28"/>
      <c r="H25" s="29"/>
      <c r="I25" s="30"/>
      <c r="J25" s="30"/>
    </row>
    <row r="26" spans="1:10">
      <c r="A26" s="22">
        <v>46126</v>
      </c>
      <c r="B26" s="22" t="s">
        <v>24</v>
      </c>
      <c r="C26" s="27"/>
      <c r="D26" s="27"/>
      <c r="E26" s="27"/>
      <c r="F26" s="27"/>
      <c r="G26" s="28"/>
      <c r="H26" s="29"/>
      <c r="I26" s="30"/>
      <c r="J26" s="30"/>
    </row>
    <row r="27" spans="1:10">
      <c r="A27" s="22">
        <v>46127</v>
      </c>
      <c r="B27" s="22" t="s">
        <v>13</v>
      </c>
      <c r="C27" s="27"/>
      <c r="D27" s="27"/>
      <c r="E27" s="27"/>
      <c r="F27" s="27"/>
      <c r="G27" s="28"/>
      <c r="H27" s="29"/>
      <c r="I27" s="30"/>
      <c r="J27" s="30"/>
    </row>
    <row r="28" spans="1:10">
      <c r="A28" s="22">
        <v>46128</v>
      </c>
      <c r="B28" s="22" t="s">
        <v>17</v>
      </c>
      <c r="C28" s="27"/>
      <c r="D28" s="27"/>
      <c r="E28" s="27"/>
      <c r="F28" s="27"/>
      <c r="G28" s="28"/>
      <c r="H28" s="29"/>
      <c r="I28" s="30"/>
      <c r="J28" s="30"/>
    </row>
    <row r="29" spans="1:10">
      <c r="A29" s="22">
        <v>46129</v>
      </c>
      <c r="B29" s="22" t="s">
        <v>18</v>
      </c>
      <c r="C29" s="27"/>
      <c r="D29" s="27"/>
      <c r="E29" s="27"/>
      <c r="F29" s="27"/>
      <c r="G29" s="28"/>
      <c r="H29" s="29"/>
      <c r="I29" s="30"/>
      <c r="J29" s="30"/>
    </row>
    <row r="30" spans="1:10">
      <c r="A30" s="31">
        <v>46130</v>
      </c>
      <c r="B30" s="31" t="s">
        <v>20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>
      <c r="A31" s="31">
        <v>46131</v>
      </c>
      <c r="B31" s="31" t="s">
        <v>21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ht="50.45">
      <c r="A32" s="22">
        <v>46132</v>
      </c>
      <c r="B32" s="22" t="s">
        <v>22</v>
      </c>
      <c r="C32" s="27" t="s">
        <v>14</v>
      </c>
      <c r="D32" s="27"/>
      <c r="E32" s="27" t="s">
        <v>15</v>
      </c>
      <c r="F32" s="27" t="s">
        <v>16</v>
      </c>
      <c r="G32" s="28" t="s">
        <v>25</v>
      </c>
      <c r="H32" s="29">
        <f t="shared" si="0"/>
        <v>0.20208333333333334</v>
      </c>
      <c r="I32" s="30">
        <v>0.33333333333333331</v>
      </c>
      <c r="J32" s="30">
        <v>0.53541666666666665</v>
      </c>
    </row>
    <row r="33" spans="1:10" ht="37.9">
      <c r="A33" s="22">
        <v>46132</v>
      </c>
      <c r="B33" s="22" t="s">
        <v>22</v>
      </c>
      <c r="C33" s="27" t="s">
        <v>14</v>
      </c>
      <c r="D33" s="27"/>
      <c r="E33" s="27" t="s">
        <v>15</v>
      </c>
      <c r="F33" s="27" t="s">
        <v>16</v>
      </c>
      <c r="G33" s="28" t="s">
        <v>26</v>
      </c>
      <c r="H33" s="29">
        <v>0.1451388888888889</v>
      </c>
      <c r="I33" s="30">
        <v>0.57499999999999996</v>
      </c>
      <c r="J33" s="30">
        <v>0.72013888888888888</v>
      </c>
    </row>
    <row r="34" spans="1:10" ht="50.45">
      <c r="A34" s="22">
        <v>46133</v>
      </c>
      <c r="B34" s="22" t="s">
        <v>24</v>
      </c>
      <c r="C34" s="27" t="s">
        <v>14</v>
      </c>
      <c r="D34" s="27"/>
      <c r="E34" s="27" t="s">
        <v>15</v>
      </c>
      <c r="F34" s="27" t="s">
        <v>16</v>
      </c>
      <c r="G34" s="28" t="s">
        <v>27</v>
      </c>
      <c r="H34" s="29">
        <f t="shared" si="0"/>
        <v>0.20555555555555555</v>
      </c>
      <c r="I34" s="30">
        <v>0.33333333333333331</v>
      </c>
      <c r="J34" s="30">
        <v>0.53888888888888886</v>
      </c>
    </row>
    <row r="35" spans="1:10" ht="37.9">
      <c r="A35" s="22">
        <v>46133</v>
      </c>
      <c r="B35" s="22" t="s">
        <v>24</v>
      </c>
      <c r="C35" s="27" t="s">
        <v>14</v>
      </c>
      <c r="D35" s="27"/>
      <c r="E35" s="27" t="s">
        <v>15</v>
      </c>
      <c r="F35" s="27" t="s">
        <v>16</v>
      </c>
      <c r="G35" s="28" t="s">
        <v>26</v>
      </c>
      <c r="H35" s="29">
        <f t="shared" si="0"/>
        <v>0.13263888888888886</v>
      </c>
      <c r="I35" s="30">
        <v>0.57916666666666672</v>
      </c>
      <c r="J35" s="30">
        <v>0.71180555555555558</v>
      </c>
    </row>
    <row r="36" spans="1:10" ht="50.45">
      <c r="A36" s="22">
        <v>46134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27</v>
      </c>
      <c r="H36" s="29">
        <f t="shared" si="0"/>
        <v>0.20624999999999999</v>
      </c>
      <c r="I36" s="30">
        <v>0.33333333333333331</v>
      </c>
      <c r="J36" s="30">
        <v>0.5395833333333333</v>
      </c>
    </row>
    <row r="37" spans="1:10" ht="37.9">
      <c r="A37" s="22">
        <v>46134</v>
      </c>
      <c r="B37" s="22" t="s">
        <v>13</v>
      </c>
      <c r="C37" s="27" t="s">
        <v>14</v>
      </c>
      <c r="D37" s="27"/>
      <c r="E37" s="27" t="s">
        <v>15</v>
      </c>
      <c r="F37" s="27" t="s">
        <v>16</v>
      </c>
      <c r="G37" s="28" t="s">
        <v>26</v>
      </c>
      <c r="H37" s="29">
        <f t="shared" si="0"/>
        <v>0.14444444444444438</v>
      </c>
      <c r="I37" s="30">
        <v>0.57986111111111116</v>
      </c>
      <c r="J37" s="30">
        <v>0.72430555555555554</v>
      </c>
    </row>
    <row r="38" spans="1:10" ht="50.45">
      <c r="A38" s="22">
        <v>46135</v>
      </c>
      <c r="B38" s="22" t="s">
        <v>17</v>
      </c>
      <c r="C38" s="27" t="s">
        <v>14</v>
      </c>
      <c r="D38" s="27"/>
      <c r="E38" s="27" t="s">
        <v>15</v>
      </c>
      <c r="F38" s="27" t="s">
        <v>16</v>
      </c>
      <c r="G38" s="28" t="s">
        <v>27</v>
      </c>
      <c r="H38" s="29">
        <f t="shared" si="0"/>
        <v>0.2</v>
      </c>
      <c r="I38" s="30">
        <v>0.33333333333333331</v>
      </c>
      <c r="J38" s="30">
        <v>0.53333333333333333</v>
      </c>
    </row>
    <row r="39" spans="1:10" ht="37.9">
      <c r="A39" s="22">
        <v>46135</v>
      </c>
      <c r="B39" s="22" t="s">
        <v>17</v>
      </c>
      <c r="C39" s="27" t="s">
        <v>14</v>
      </c>
      <c r="D39" s="27"/>
      <c r="E39" s="27" t="s">
        <v>15</v>
      </c>
      <c r="F39" s="27"/>
      <c r="G39" s="28" t="s">
        <v>26</v>
      </c>
      <c r="H39" s="29">
        <f t="shared" si="0"/>
        <v>0.13750000000000007</v>
      </c>
      <c r="I39" s="30">
        <v>0.57291666666666663</v>
      </c>
      <c r="J39" s="30">
        <v>0.7104166666666667</v>
      </c>
    </row>
    <row r="40" spans="1:10" ht="50.45">
      <c r="A40" s="22">
        <v>46136</v>
      </c>
      <c r="B40" s="22" t="s">
        <v>18</v>
      </c>
      <c r="C40" s="27" t="s">
        <v>14</v>
      </c>
      <c r="D40" s="27"/>
      <c r="E40" s="27" t="s">
        <v>15</v>
      </c>
      <c r="F40" s="27" t="s">
        <v>16</v>
      </c>
      <c r="G40" s="28" t="s">
        <v>27</v>
      </c>
      <c r="H40" s="29">
        <f t="shared" si="0"/>
        <v>0.20069444444444445</v>
      </c>
      <c r="I40" s="30">
        <v>0.33333333333333331</v>
      </c>
      <c r="J40" s="30">
        <v>0.53402777777777777</v>
      </c>
    </row>
    <row r="41" spans="1:10">
      <c r="A41" s="22">
        <v>46136</v>
      </c>
      <c r="B41" s="22" t="s">
        <v>18</v>
      </c>
      <c r="C41" s="27" t="s">
        <v>14</v>
      </c>
      <c r="D41" s="27"/>
      <c r="E41" s="27" t="s">
        <v>15</v>
      </c>
      <c r="F41" s="27" t="s">
        <v>16</v>
      </c>
      <c r="G41" s="28" t="s">
        <v>28</v>
      </c>
      <c r="H41" s="29">
        <f t="shared" si="0"/>
        <v>2.9166666666666674E-2</v>
      </c>
      <c r="I41" s="30">
        <v>0.57430555555555551</v>
      </c>
      <c r="J41" s="30">
        <v>0.60347222222222219</v>
      </c>
    </row>
    <row r="42" spans="1:10" ht="25.15">
      <c r="A42" s="22"/>
      <c r="B42" s="22"/>
      <c r="C42" s="27"/>
      <c r="D42" s="27"/>
      <c r="E42" s="27"/>
      <c r="F42" s="27" t="s">
        <v>16</v>
      </c>
      <c r="G42" s="40" t="s">
        <v>29</v>
      </c>
      <c r="H42" s="29">
        <f t="shared" si="0"/>
        <v>1.1805555555555625E-2</v>
      </c>
      <c r="I42" s="30">
        <v>0.60347222222222219</v>
      </c>
      <c r="J42" s="30">
        <v>0.61527777777777781</v>
      </c>
    </row>
    <row r="43" spans="1:10" ht="63">
      <c r="A43" s="22">
        <v>46136</v>
      </c>
      <c r="B43" s="22" t="s">
        <v>18</v>
      </c>
      <c r="C43" s="27" t="s">
        <v>14</v>
      </c>
      <c r="D43" s="27"/>
      <c r="E43" s="27" t="s">
        <v>15</v>
      </c>
      <c r="F43" s="27" t="s">
        <v>16</v>
      </c>
      <c r="G43" s="40" t="s">
        <v>30</v>
      </c>
      <c r="H43" s="29">
        <f t="shared" si="0"/>
        <v>0.10069444444444442</v>
      </c>
      <c r="I43" s="30">
        <v>0.61527777777777781</v>
      </c>
      <c r="J43" s="30">
        <v>0.71597222222222223</v>
      </c>
    </row>
    <row r="44" spans="1:10">
      <c r="A44" s="31">
        <v>46137</v>
      </c>
      <c r="B44" s="31" t="s">
        <v>20</v>
      </c>
      <c r="C44" s="32"/>
      <c r="D44" s="32"/>
      <c r="E44" s="32"/>
      <c r="F44" s="32"/>
      <c r="G44" s="33"/>
      <c r="H44" s="34">
        <f t="shared" si="0"/>
        <v>0</v>
      </c>
      <c r="I44" s="35"/>
      <c r="J44" s="35"/>
    </row>
    <row r="45" spans="1:10">
      <c r="A45" s="31">
        <v>46138</v>
      </c>
      <c r="B45" s="31" t="s">
        <v>21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>
      <c r="A46" s="47">
        <v>46139</v>
      </c>
      <c r="B46" s="47" t="s">
        <v>22</v>
      </c>
      <c r="C46" s="48" t="s">
        <v>14</v>
      </c>
      <c r="D46" s="48"/>
      <c r="E46" s="48" t="s">
        <v>19</v>
      </c>
      <c r="F46" s="48" t="s">
        <v>16</v>
      </c>
      <c r="G46" s="49" t="s">
        <v>31</v>
      </c>
      <c r="H46" s="50">
        <f t="shared" si="0"/>
        <v>0.33333333333333331</v>
      </c>
      <c r="I46" s="51">
        <v>0.33333333333333331</v>
      </c>
      <c r="J46" s="51">
        <v>0.66666666666666663</v>
      </c>
    </row>
    <row r="47" spans="1:10">
      <c r="A47" s="22">
        <v>46140</v>
      </c>
      <c r="B47" s="22" t="s">
        <v>24</v>
      </c>
      <c r="C47" s="27"/>
      <c r="D47" s="27"/>
      <c r="E47" s="27"/>
      <c r="F47" s="27"/>
      <c r="G47" s="28"/>
      <c r="H47" s="29">
        <f t="shared" si="0"/>
        <v>0</v>
      </c>
      <c r="I47" s="30"/>
      <c r="J47" s="30"/>
    </row>
    <row r="48" spans="1:10">
      <c r="A48" s="22">
        <v>46141</v>
      </c>
      <c r="B48" s="22" t="s">
        <v>13</v>
      </c>
      <c r="C48" s="27"/>
      <c r="D48" s="27"/>
      <c r="E48" s="27"/>
      <c r="F48" s="27"/>
      <c r="G48" s="28"/>
      <c r="H48" s="29">
        <f t="shared" si="0"/>
        <v>0</v>
      </c>
      <c r="I48" s="30"/>
      <c r="J48" s="30"/>
    </row>
    <row r="49" spans="1:10">
      <c r="A49" s="22">
        <v>46142</v>
      </c>
      <c r="B49" s="22" t="s">
        <v>17</v>
      </c>
      <c r="C49" s="27"/>
      <c r="D49" s="27"/>
      <c r="E49" s="27"/>
      <c r="F49" s="27"/>
      <c r="G49" s="28"/>
      <c r="H49" s="29">
        <f t="shared" si="0"/>
        <v>0</v>
      </c>
      <c r="I49" s="30"/>
      <c r="J49" s="30"/>
    </row>
    <row r="50" spans="1:10" ht="13.9" customHeight="1" thickBot="1">
      <c r="A50" s="46"/>
      <c r="B50" s="46"/>
      <c r="G50" s="40"/>
      <c r="H50" s="64"/>
      <c r="I50" s="65"/>
      <c r="J50" s="65"/>
    </row>
    <row r="51" spans="1:10" ht="13.9" customHeight="1">
      <c r="A51" s="4"/>
      <c r="B51" s="4"/>
      <c r="C51" s="5"/>
      <c r="D51" s="6"/>
      <c r="E51" s="7" t="s">
        <v>32</v>
      </c>
      <c r="F51" s="8">
        <v>152</v>
      </c>
      <c r="H51" s="40"/>
    </row>
    <row r="52" spans="1:10" ht="13.9" customHeight="1" thickBot="1">
      <c r="A52" s="4"/>
      <c r="B52" s="4"/>
      <c r="C52" s="9"/>
      <c r="D52" s="2"/>
      <c r="E52" s="10" t="s">
        <v>33</v>
      </c>
      <c r="F52" s="11">
        <v>19</v>
      </c>
      <c r="H52" s="40"/>
    </row>
    <row r="53" spans="1:10" ht="13.9" customHeight="1" thickBot="1">
      <c r="A53" s="122" t="s">
        <v>34</v>
      </c>
      <c r="B53" s="122"/>
      <c r="C53" s="122"/>
      <c r="D53" s="12"/>
      <c r="E53" s="2"/>
      <c r="F53" s="2"/>
      <c r="H53" s="40"/>
    </row>
    <row r="54" spans="1:10" ht="13.9">
      <c r="A54" s="13"/>
      <c r="B54" s="13"/>
      <c r="C54" s="6"/>
      <c r="D54" s="6"/>
      <c r="E54" s="14" t="s">
        <v>35</v>
      </c>
      <c r="F54" s="15">
        <f>SUMIF(F9:F49,"Billable",H9:H49)</f>
        <v>0</v>
      </c>
      <c r="H54" s="38"/>
    </row>
    <row r="55" spans="1:10" ht="15" customHeight="1" thickBot="1">
      <c r="A55" s="123" t="s">
        <v>36</v>
      </c>
      <c r="B55" s="123"/>
      <c r="C55" s="123"/>
      <c r="D55" s="16"/>
      <c r="E55" s="17" t="s">
        <v>37</v>
      </c>
      <c r="F55" s="18">
        <f>SUMIF(F9:F49,"Non-Billable",H9:H49)</f>
        <v>2.5784722222222221</v>
      </c>
      <c r="H55" s="40"/>
    </row>
    <row r="56" spans="1:10" ht="14.45" thickBot="1">
      <c r="A56" s="2"/>
      <c r="B56" s="2"/>
      <c r="C56" s="2"/>
      <c r="D56" s="2"/>
      <c r="E56" s="19" t="s">
        <v>38</v>
      </c>
      <c r="F56" s="44">
        <f>F54+F55</f>
        <v>2.5784722222222221</v>
      </c>
      <c r="H56" s="40"/>
    </row>
    <row r="57" spans="1:10" ht="13.9" thickBot="1">
      <c r="A57" s="2"/>
      <c r="B57" s="2"/>
      <c r="C57" s="2"/>
      <c r="D57" s="2"/>
      <c r="E57" s="2"/>
      <c r="F57" s="2"/>
      <c r="H57" s="40"/>
    </row>
    <row r="58" spans="1:10" ht="13.9" thickBot="1">
      <c r="A58" s="2"/>
      <c r="B58" s="2"/>
      <c r="C58" s="2"/>
      <c r="D58" s="2"/>
      <c r="E58" s="20" t="s">
        <v>39</v>
      </c>
      <c r="F58" s="21"/>
      <c r="H58" s="40"/>
    </row>
    <row r="59" spans="1:10" ht="13.15" thickBot="1">
      <c r="E59" s="39"/>
      <c r="H59" s="40"/>
    </row>
  </sheetData>
  <mergeCells count="2">
    <mergeCell ref="A53:C53"/>
    <mergeCell ref="A55:C55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59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51:E51 D53:E55 E58">
    <cfRule type="containsText" dxfId="93" priority="3" operator="containsText" text="Religious Leave">
      <formula>NOT(ISERROR(SEARCH("Religious Leave",D51)))</formula>
    </cfRule>
    <cfRule type="containsText" dxfId="92" priority="4" operator="containsText" text="Birthday Leave">
      <formula>NOT(ISERROR(SEARCH("Birthday Leave",D51)))</formula>
    </cfRule>
    <cfRule type="containsText" dxfId="91" priority="5" operator="containsText" text="Study Leave">
      <formula>NOT(ISERROR(SEARCH("Study Leave",D51)))</formula>
    </cfRule>
    <cfRule type="containsText" dxfId="90" priority="6" operator="containsText" text="Family Responsibility Leave">
      <formula>NOT(ISERROR(SEARCH("Family Responsibility Leave",D51)))</formula>
    </cfRule>
    <cfRule type="containsText" dxfId="89" priority="7" operator="containsText" text="Sick Leave">
      <formula>NOT(ISERROR(SEARCH("Sick Leave",D51)))</formula>
    </cfRule>
    <cfRule type="containsText" dxfId="88" priority="8" operator="containsText" text="Annual Leave">
      <formula>NOT(ISERROR(SEARCH("Annual Leave",D51)))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0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F9:F50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E9:E50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40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18</v>
      </c>
      <c r="C9" s="48" t="s">
        <v>14</v>
      </c>
      <c r="D9" s="48"/>
      <c r="E9" s="48" t="s">
        <v>19</v>
      </c>
      <c r="F9" s="48" t="s">
        <v>16</v>
      </c>
      <c r="G9" s="49" t="s">
        <v>41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20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22</v>
      </c>
      <c r="C12" s="27" t="s">
        <v>14</v>
      </c>
      <c r="D12" s="27" t="s">
        <v>40</v>
      </c>
      <c r="E12" s="27" t="s">
        <v>42</v>
      </c>
      <c r="F12" s="27" t="s">
        <v>43</v>
      </c>
      <c r="G12" s="28" t="s">
        <v>44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>
      <c r="A13" s="22">
        <v>46147</v>
      </c>
      <c r="B13" s="22" t="s">
        <v>24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46149</v>
      </c>
      <c r="B15" s="22" t="s">
        <v>17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22">
        <v>46150</v>
      </c>
      <c r="B16" s="22" t="s">
        <v>18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>
      <c r="A17" s="31">
        <v>46151</v>
      </c>
      <c r="B17" s="31" t="s">
        <v>20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21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>
      <c r="A19" s="22">
        <v>46153</v>
      </c>
      <c r="B19" s="22" t="s">
        <v>22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46154</v>
      </c>
      <c r="B20" s="22" t="s">
        <v>24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46156</v>
      </c>
      <c r="B22" s="22" t="s">
        <v>17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22">
        <v>46157</v>
      </c>
      <c r="B23" s="22" t="s">
        <v>18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>
      <c r="A24" s="31">
        <v>46158</v>
      </c>
      <c r="B24" s="31" t="s">
        <v>20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31">
        <v>46159</v>
      </c>
      <c r="B25" s="31" t="s">
        <v>21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>
      <c r="A26" s="22">
        <v>46160</v>
      </c>
      <c r="B26" s="22" t="s">
        <v>22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46161</v>
      </c>
      <c r="B27" s="22" t="s">
        <v>24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46163</v>
      </c>
      <c r="B29" s="22" t="s">
        <v>17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22">
        <v>46164</v>
      </c>
      <c r="B30" s="22" t="s">
        <v>18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>
      <c r="A31" s="31">
        <v>46165</v>
      </c>
      <c r="B31" s="31" t="s">
        <v>20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31">
        <v>46166</v>
      </c>
      <c r="B32" s="31" t="s">
        <v>21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>
      <c r="A33" s="22">
        <v>46167</v>
      </c>
      <c r="B33" s="22" t="s">
        <v>22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46168</v>
      </c>
      <c r="B34" s="22" t="s">
        <v>24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46170</v>
      </c>
      <c r="B36" s="22" t="s">
        <v>17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22">
        <v>46171</v>
      </c>
      <c r="B37" s="22" t="s">
        <v>18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>
      <c r="A38" s="31">
        <v>46172</v>
      </c>
      <c r="B38" s="31" t="s">
        <v>20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>
      <c r="A39" s="31">
        <v>46173</v>
      </c>
      <c r="B39" s="31" t="s">
        <v>21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32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33</v>
      </c>
      <c r="F42" s="11">
        <v>20</v>
      </c>
      <c r="H42" s="40"/>
    </row>
    <row r="43" spans="1:10" ht="13.9" customHeight="1" thickBot="1">
      <c r="A43" s="122" t="s">
        <v>34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35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36</v>
      </c>
      <c r="B45" s="123"/>
      <c r="C45" s="123"/>
      <c r="D45" s="16"/>
      <c r="E45" s="17" t="s">
        <v>37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38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39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9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1 D43:E45 E48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40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22</v>
      </c>
      <c r="C9" s="27" t="s">
        <v>14</v>
      </c>
      <c r="D9" s="27" t="s">
        <v>40</v>
      </c>
      <c r="E9" s="27" t="s">
        <v>42</v>
      </c>
      <c r="F9" s="27" t="s">
        <v>43</v>
      </c>
      <c r="G9" s="28" t="s">
        <v>44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17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18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20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21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22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17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18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20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21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22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24</v>
      </c>
      <c r="C24" s="48" t="s">
        <v>14</v>
      </c>
      <c r="D24" s="48"/>
      <c r="E24" s="48" t="s">
        <v>19</v>
      </c>
      <c r="F24" s="48" t="s">
        <v>16</v>
      </c>
      <c r="G24" s="49" t="s">
        <v>45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17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18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20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21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22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17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18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20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21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22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32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33</v>
      </c>
      <c r="F41" s="11">
        <v>21</v>
      </c>
      <c r="H41" s="40"/>
    </row>
    <row r="42" spans="1:10" ht="13.9" customHeight="1" thickBot="1">
      <c r="A42" s="122" t="s">
        <v>34</v>
      </c>
      <c r="B42" s="122"/>
      <c r="C42" s="122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35</v>
      </c>
      <c r="F43" s="15">
        <f>SUMIF(F9:F38,"Billable",H9:H38)</f>
        <v>0.33333333333333331</v>
      </c>
      <c r="H43" s="38"/>
    </row>
    <row r="44" spans="1:10" ht="15" customHeight="1" thickBot="1">
      <c r="A44" s="123" t="s">
        <v>36</v>
      </c>
      <c r="B44" s="123"/>
      <c r="C44" s="123"/>
      <c r="D44" s="16"/>
      <c r="E44" s="17" t="s">
        <v>37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38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39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40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40</v>
      </c>
      <c r="E9" s="27" t="s">
        <v>42</v>
      </c>
      <c r="F9" s="27" t="s">
        <v>43</v>
      </c>
      <c r="G9" s="28" t="s">
        <v>44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17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18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20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21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22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17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18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20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21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22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17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18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20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21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22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17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18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20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21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22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17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18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32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33</v>
      </c>
      <c r="F42" s="11">
        <v>23</v>
      </c>
      <c r="H42" s="40"/>
    </row>
    <row r="43" spans="1:10" ht="13.9" customHeight="1" thickBot="1">
      <c r="A43" s="122" t="s">
        <v>34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35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36</v>
      </c>
      <c r="B45" s="123"/>
      <c r="C45" s="123"/>
      <c r="D45" s="16"/>
      <c r="E45" s="17" t="s">
        <v>37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38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39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40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20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21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22</v>
      </c>
      <c r="C11" s="27" t="s">
        <v>14</v>
      </c>
      <c r="D11" s="27" t="s">
        <v>40</v>
      </c>
      <c r="E11" s="27" t="s">
        <v>42</v>
      </c>
      <c r="F11" s="27" t="s">
        <v>43</v>
      </c>
      <c r="G11" s="28" t="s">
        <v>44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24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17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18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20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21</v>
      </c>
      <c r="C17" s="32"/>
      <c r="D17" s="32"/>
      <c r="E17" s="32"/>
      <c r="F17" s="32"/>
      <c r="G17" s="33" t="s">
        <v>46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22</v>
      </c>
      <c r="C18" s="48" t="s">
        <v>14</v>
      </c>
      <c r="D18" s="48"/>
      <c r="E18" s="48" t="s">
        <v>19</v>
      </c>
      <c r="F18" s="48" t="s">
        <v>16</v>
      </c>
      <c r="G18" s="49" t="s">
        <v>47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24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17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18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20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21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22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24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17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18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20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21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22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24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17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18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20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21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22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32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33</v>
      </c>
      <c r="F42" s="11">
        <v>20</v>
      </c>
      <c r="H42" s="40"/>
    </row>
    <row r="43" spans="1:10" ht="13.9" customHeight="1" thickBot="1">
      <c r="A43" s="122" t="s">
        <v>34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35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36</v>
      </c>
      <c r="B45" s="123"/>
      <c r="C45" s="123"/>
      <c r="D45" s="16"/>
      <c r="E45" s="17" t="s">
        <v>37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38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39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40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24</v>
      </c>
      <c r="C9" s="27" t="s">
        <v>14</v>
      </c>
      <c r="D9" s="27" t="s">
        <v>40</v>
      </c>
      <c r="E9" s="27" t="s">
        <v>42</v>
      </c>
      <c r="F9" s="27" t="s">
        <v>43</v>
      </c>
      <c r="G9" s="28" t="s">
        <v>44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17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18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20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22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24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17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18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20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22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24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17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18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20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22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24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17</v>
      </c>
      <c r="C32" s="48" t="s">
        <v>14</v>
      </c>
      <c r="D32" s="48"/>
      <c r="E32" s="48" t="s">
        <v>19</v>
      </c>
      <c r="F32" s="48" t="s">
        <v>16</v>
      </c>
      <c r="G32" s="49" t="s">
        <v>48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18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20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22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24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32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33</v>
      </c>
      <c r="F41" s="11">
        <v>21</v>
      </c>
      <c r="H41" s="40"/>
    </row>
    <row r="42" spans="1:10" ht="13.9" customHeight="1" thickBot="1">
      <c r="A42" s="122" t="s">
        <v>34</v>
      </c>
      <c r="B42" s="122"/>
      <c r="C42" s="122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35</v>
      </c>
      <c r="F43" s="15">
        <f>SUMIF(F9:F38,"Billable",H9:H38)</f>
        <v>0.33333333333333331</v>
      </c>
      <c r="H43" s="38"/>
    </row>
    <row r="44" spans="1:10" ht="15" customHeight="1" thickBot="1">
      <c r="A44" s="123" t="s">
        <v>36</v>
      </c>
      <c r="B44" s="123"/>
      <c r="C44" s="123"/>
      <c r="D44" s="16"/>
      <c r="E44" s="17" t="s">
        <v>37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38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39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40</v>
      </c>
      <c r="C5" s="86"/>
      <c r="D5" s="86"/>
      <c r="E5" s="86"/>
      <c r="F5" s="86"/>
    </row>
    <row r="6" spans="1:15">
      <c r="A6" s="79" t="s">
        <v>49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29" t="s">
        <v>50</v>
      </c>
      <c r="B8" s="129"/>
      <c r="C8" s="129"/>
      <c r="D8" s="129"/>
      <c r="E8" s="129"/>
      <c r="F8" s="129"/>
    </row>
    <row r="9" spans="1:15" ht="13.5" customHeight="1" thickBot="1">
      <c r="A9" s="82" t="s">
        <v>51</v>
      </c>
      <c r="B9" s="126" t="s">
        <v>52</v>
      </c>
      <c r="C9" s="127"/>
      <c r="D9" s="126" t="s">
        <v>53</v>
      </c>
      <c r="E9" s="127"/>
      <c r="F9" s="83" t="s">
        <v>54</v>
      </c>
    </row>
    <row r="10" spans="1:15">
      <c r="A10" s="78">
        <v>46113</v>
      </c>
      <c r="B10" s="128" t="s">
        <v>55</v>
      </c>
      <c r="C10" s="128"/>
      <c r="D10" s="128" t="s">
        <v>56</v>
      </c>
      <c r="E10" s="128"/>
      <c r="F10" s="77">
        <v>200</v>
      </c>
      <c r="G10" s="124" t="s">
        <v>57</v>
      </c>
      <c r="H10" s="125"/>
      <c r="I10" s="125"/>
      <c r="J10" s="125"/>
      <c r="K10" s="125"/>
      <c r="L10" s="125"/>
      <c r="M10" s="125"/>
      <c r="N10" s="125"/>
      <c r="O10" s="125"/>
    </row>
    <row r="11" spans="1:15">
      <c r="A11" s="78">
        <v>46113</v>
      </c>
      <c r="B11" s="130" t="s">
        <v>58</v>
      </c>
      <c r="C11" s="131"/>
      <c r="D11" s="128" t="s">
        <v>59</v>
      </c>
      <c r="E11" s="128"/>
      <c r="F11" s="77"/>
    </row>
    <row r="12" spans="1:15">
      <c r="A12" s="78">
        <v>46113</v>
      </c>
      <c r="B12" s="130" t="s">
        <v>60</v>
      </c>
      <c r="C12" s="131"/>
      <c r="D12" s="128"/>
      <c r="E12" s="128"/>
      <c r="F12" s="77"/>
    </row>
    <row r="13" spans="1:15">
      <c r="A13" s="78">
        <v>46113</v>
      </c>
      <c r="B13" s="130"/>
      <c r="C13" s="131"/>
      <c r="D13" s="128"/>
      <c r="E13" s="128"/>
      <c r="F13" s="77"/>
    </row>
    <row r="14" spans="1:15">
      <c r="A14" s="78">
        <v>46113</v>
      </c>
      <c r="B14" s="130"/>
      <c r="C14" s="131"/>
      <c r="D14" s="128"/>
      <c r="E14" s="128"/>
      <c r="F14" s="77"/>
    </row>
    <row r="15" spans="1:15">
      <c r="A15" s="78">
        <v>46113</v>
      </c>
      <c r="B15" s="135"/>
      <c r="C15" s="136"/>
      <c r="D15" s="128"/>
      <c r="E15" s="128"/>
      <c r="F15" s="77"/>
    </row>
    <row r="16" spans="1:15" ht="13.15" thickBot="1">
      <c r="A16" s="78">
        <v>46113</v>
      </c>
      <c r="B16" s="130"/>
      <c r="C16" s="131"/>
      <c r="D16" s="128"/>
      <c r="E16" s="128"/>
      <c r="F16" s="77"/>
    </row>
    <row r="17" spans="1:6" ht="13.5" customHeight="1" thickBot="1">
      <c r="A17" s="132" t="s">
        <v>61</v>
      </c>
      <c r="B17" s="133"/>
      <c r="C17" s="133"/>
      <c r="D17" s="133"/>
      <c r="E17" s="134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37"/>
      <c r="B4" s="137"/>
    </row>
    <row r="5" spans="1:6">
      <c r="A5" s="37" t="s">
        <v>0</v>
      </c>
      <c r="B5" s="23" t="s">
        <v>40</v>
      </c>
    </row>
    <row r="6" spans="1:6">
      <c r="A6" s="79" t="s">
        <v>62</v>
      </c>
      <c r="B6" s="79"/>
    </row>
    <row r="7" spans="1:6">
      <c r="A7" s="95" t="s">
        <v>63</v>
      </c>
      <c r="B7" s="95"/>
    </row>
    <row r="8" spans="1:6">
      <c r="A8" s="96"/>
      <c r="B8" s="85"/>
    </row>
    <row r="9" spans="1:6" ht="27.4" customHeight="1">
      <c r="A9" s="150" t="s">
        <v>64</v>
      </c>
      <c r="B9" s="150"/>
      <c r="C9" s="150"/>
      <c r="D9" s="150"/>
      <c r="E9" s="150"/>
      <c r="F9" s="150"/>
    </row>
    <row r="10" spans="1:6" ht="25.15">
      <c r="A10" s="87" t="s">
        <v>65</v>
      </c>
      <c r="B10" s="87" t="s">
        <v>66</v>
      </c>
      <c r="C10" s="87" t="s">
        <v>67</v>
      </c>
      <c r="D10" s="87" t="s">
        <v>68</v>
      </c>
      <c r="E10" s="87" t="s">
        <v>69</v>
      </c>
      <c r="F10" s="87" t="s">
        <v>70</v>
      </c>
    </row>
    <row r="11" spans="1:6">
      <c r="A11" s="87" t="s">
        <v>71</v>
      </c>
      <c r="B11" s="117"/>
      <c r="C11" s="117"/>
      <c r="D11" s="87"/>
      <c r="E11" s="87"/>
      <c r="F11" s="87" t="s">
        <v>72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0</v>
      </c>
      <c r="E14" s="89"/>
      <c r="F14" s="91"/>
    </row>
    <row r="15" spans="1:6" ht="13.15" thickBot="1">
      <c r="A15" s="141"/>
      <c r="B15" s="142"/>
      <c r="C15" s="142"/>
      <c r="D15" s="142"/>
      <c r="E15" s="142"/>
      <c r="F15" s="142"/>
    </row>
    <row r="16" spans="1:6">
      <c r="A16" s="151" t="s">
        <v>73</v>
      </c>
      <c r="B16" s="152"/>
      <c r="C16" s="152"/>
      <c r="D16" s="152"/>
      <c r="E16" s="152"/>
      <c r="F16" s="153"/>
    </row>
    <row r="17" spans="1:6">
      <c r="A17" s="138"/>
      <c r="B17" s="139"/>
      <c r="C17" s="139"/>
      <c r="D17" s="139"/>
      <c r="E17" s="139"/>
      <c r="F17" s="140"/>
    </row>
    <row r="18" spans="1:6">
      <c r="A18" s="138"/>
      <c r="B18" s="139"/>
      <c r="C18" s="139"/>
      <c r="D18" s="139"/>
      <c r="E18" s="139"/>
      <c r="F18" s="140"/>
    </row>
    <row r="19" spans="1:6" ht="13.15" thickBot="1">
      <c r="A19" s="141"/>
      <c r="B19" s="142"/>
      <c r="C19" s="142"/>
      <c r="D19" s="142"/>
      <c r="E19" s="142"/>
      <c r="F19" s="143"/>
    </row>
    <row r="20" spans="1:6" ht="13.15" thickBot="1"/>
    <row r="21" spans="1:6">
      <c r="A21" s="92" t="s">
        <v>3</v>
      </c>
      <c r="B21" s="144"/>
      <c r="C21" s="144"/>
      <c r="D21" s="144"/>
      <c r="E21" s="144"/>
      <c r="F21" s="145"/>
    </row>
    <row r="22" spans="1:6">
      <c r="A22" s="93" t="s">
        <v>74</v>
      </c>
      <c r="B22" s="146"/>
      <c r="C22" s="146"/>
      <c r="D22" s="146"/>
      <c r="E22" s="146"/>
      <c r="F22" s="147"/>
    </row>
    <row r="23" spans="1:6" ht="13.15" thickBot="1">
      <c r="A23" s="94" t="s">
        <v>75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5" sqref="H65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76</v>
      </c>
      <c r="F2" s="52" t="s">
        <v>7</v>
      </c>
      <c r="H2" s="52" t="s">
        <v>77</v>
      </c>
      <c r="J2" s="53" t="s">
        <v>43</v>
      </c>
    </row>
    <row r="3" spans="2:10">
      <c r="B3" s="66" t="s">
        <v>78</v>
      </c>
      <c r="D3" s="71" t="s">
        <v>79</v>
      </c>
      <c r="F3" s="55" t="s">
        <v>42</v>
      </c>
      <c r="H3" s="68" t="s">
        <v>80</v>
      </c>
      <c r="I3" s="99"/>
      <c r="J3" s="56" t="s">
        <v>16</v>
      </c>
    </row>
    <row r="4" spans="2:10">
      <c r="B4" s="66" t="s">
        <v>81</v>
      </c>
      <c r="D4" s="54" t="s">
        <v>82</v>
      </c>
      <c r="F4" s="57" t="s">
        <v>83</v>
      </c>
      <c r="H4" s="101" t="s">
        <v>84</v>
      </c>
      <c r="I4" s="68"/>
      <c r="J4" s="58" t="s">
        <v>43</v>
      </c>
    </row>
    <row r="5" spans="2:10">
      <c r="B5" s="66" t="s">
        <v>85</v>
      </c>
      <c r="D5" s="71" t="s">
        <v>86</v>
      </c>
      <c r="F5" s="59" t="s">
        <v>87</v>
      </c>
      <c r="H5" s="68" t="s">
        <v>88</v>
      </c>
      <c r="I5" s="100"/>
    </row>
    <row r="6" spans="2:10">
      <c r="B6" s="66" t="s">
        <v>89</v>
      </c>
      <c r="D6" s="54" t="s">
        <v>90</v>
      </c>
      <c r="F6" s="57" t="s">
        <v>91</v>
      </c>
      <c r="H6" s="99" t="s">
        <v>92</v>
      </c>
      <c r="I6" s="101"/>
    </row>
    <row r="7" spans="2:10">
      <c r="B7" s="66" t="s">
        <v>93</v>
      </c>
      <c r="D7" s="71" t="s">
        <v>94</v>
      </c>
      <c r="F7" s="59" t="s">
        <v>15</v>
      </c>
      <c r="H7" s="67" t="s">
        <v>95</v>
      </c>
      <c r="I7" s="102"/>
    </row>
    <row r="8" spans="2:10">
      <c r="B8" s="66" t="s">
        <v>96</v>
      </c>
      <c r="D8" s="54" t="s">
        <v>97</v>
      </c>
      <c r="F8" s="57" t="s">
        <v>98</v>
      </c>
      <c r="H8" s="102" t="s">
        <v>99</v>
      </c>
      <c r="I8" s="99"/>
      <c r="J8" s="52" t="s">
        <v>100</v>
      </c>
    </row>
    <row r="9" spans="2:10">
      <c r="B9" s="66" t="s">
        <v>101</v>
      </c>
      <c r="D9" s="71" t="s">
        <v>102</v>
      </c>
      <c r="F9" s="59" t="s">
        <v>103</v>
      </c>
      <c r="H9" s="103" t="s">
        <v>104</v>
      </c>
      <c r="I9" s="99"/>
      <c r="J9" s="52" t="s">
        <v>56</v>
      </c>
    </row>
    <row r="10" spans="2:10">
      <c r="B10" s="66" t="s">
        <v>105</v>
      </c>
      <c r="D10" s="54" t="s">
        <v>106</v>
      </c>
      <c r="F10" s="57" t="s">
        <v>107</v>
      </c>
      <c r="H10" s="107" t="s">
        <v>108</v>
      </c>
      <c r="I10" s="102"/>
    </row>
    <row r="11" spans="2:10">
      <c r="B11" s="66" t="s">
        <v>109</v>
      </c>
      <c r="D11" s="71" t="s">
        <v>110</v>
      </c>
      <c r="F11" s="59" t="s">
        <v>111</v>
      </c>
      <c r="H11" s="103" t="s">
        <v>112</v>
      </c>
      <c r="I11" s="102"/>
      <c r="J11" s="52" t="s">
        <v>113</v>
      </c>
    </row>
    <row r="12" spans="2:10">
      <c r="B12" s="66" t="s">
        <v>114</v>
      </c>
      <c r="F12" s="57" t="s">
        <v>115</v>
      </c>
      <c r="H12" s="107" t="s">
        <v>116</v>
      </c>
      <c r="I12" s="103"/>
      <c r="J12" s="52" t="s">
        <v>117</v>
      </c>
    </row>
    <row r="13" spans="2:10">
      <c r="B13" s="66" t="s">
        <v>118</v>
      </c>
      <c r="F13" s="59" t="s">
        <v>119</v>
      </c>
      <c r="H13" s="104" t="s">
        <v>120</v>
      </c>
      <c r="I13" s="103"/>
    </row>
    <row r="14" spans="2:10">
      <c r="B14" s="66" t="s">
        <v>121</v>
      </c>
      <c r="D14" s="60"/>
      <c r="F14" s="57" t="s">
        <v>122</v>
      </c>
      <c r="H14" s="105" t="s">
        <v>123</v>
      </c>
      <c r="I14" s="104"/>
    </row>
    <row r="15" spans="2:10">
      <c r="B15" s="66" t="s">
        <v>124</v>
      </c>
      <c r="D15" s="61"/>
      <c r="F15" s="59" t="s">
        <v>125</v>
      </c>
      <c r="H15" s="103" t="s">
        <v>126</v>
      </c>
      <c r="I15" s="103"/>
    </row>
    <row r="16" spans="2:10">
      <c r="B16" s="66" t="s">
        <v>127</v>
      </c>
      <c r="D16" s="61"/>
      <c r="F16" s="57" t="s">
        <v>128</v>
      </c>
      <c r="H16" s="104" t="s">
        <v>129</v>
      </c>
      <c r="I16" s="105"/>
    </row>
    <row r="17" spans="2:9">
      <c r="B17" s="66" t="s">
        <v>130</v>
      </c>
      <c r="D17" s="61"/>
      <c r="F17" s="59" t="s">
        <v>131</v>
      </c>
      <c r="H17" s="67" t="s">
        <v>132</v>
      </c>
      <c r="I17" s="103"/>
    </row>
    <row r="18" spans="2:9">
      <c r="B18" s="66" t="s">
        <v>133</v>
      </c>
      <c r="D18" s="61"/>
      <c r="F18" s="57" t="s">
        <v>134</v>
      </c>
      <c r="H18" s="108" t="s">
        <v>135</v>
      </c>
      <c r="I18" s="105"/>
    </row>
    <row r="19" spans="2:9">
      <c r="B19" s="66" t="s">
        <v>136</v>
      </c>
      <c r="D19" s="61"/>
      <c r="F19" s="59" t="s">
        <v>137</v>
      </c>
      <c r="H19" s="70" t="s">
        <v>138</v>
      </c>
      <c r="I19" s="106"/>
    </row>
    <row r="20" spans="2:9">
      <c r="B20" s="66" t="s">
        <v>139</v>
      </c>
      <c r="D20" s="61"/>
      <c r="F20" s="57" t="s">
        <v>140</v>
      </c>
      <c r="H20" s="70" t="s">
        <v>141</v>
      </c>
      <c r="I20" s="104"/>
    </row>
    <row r="21" spans="2:9">
      <c r="B21" s="66" t="s">
        <v>142</v>
      </c>
      <c r="D21" s="61"/>
      <c r="F21" s="59" t="s">
        <v>143</v>
      </c>
      <c r="H21" s="112" t="s">
        <v>144</v>
      </c>
      <c r="I21" s="102"/>
    </row>
    <row r="22" spans="2:9" ht="27.6">
      <c r="B22" s="66" t="s">
        <v>145</v>
      </c>
      <c r="D22" s="61"/>
      <c r="F22" s="57" t="s">
        <v>146</v>
      </c>
      <c r="H22" s="118" t="s">
        <v>147</v>
      </c>
      <c r="I22" s="107"/>
    </row>
    <row r="23" spans="2:9">
      <c r="B23" s="66" t="s">
        <v>148</v>
      </c>
      <c r="D23" s="61"/>
      <c r="F23" s="59" t="s">
        <v>149</v>
      </c>
      <c r="H23" s="110" t="s">
        <v>40</v>
      </c>
      <c r="I23" s="108"/>
    </row>
    <row r="24" spans="2:9">
      <c r="B24" s="66" t="s">
        <v>150</v>
      </c>
      <c r="D24" s="61"/>
      <c r="F24" s="57" t="s">
        <v>151</v>
      </c>
      <c r="H24" s="70" t="s">
        <v>152</v>
      </c>
      <c r="I24" s="109"/>
    </row>
    <row r="25" spans="2:9">
      <c r="B25" s="66" t="s">
        <v>153</v>
      </c>
      <c r="D25" s="61"/>
      <c r="F25" s="59" t="s">
        <v>154</v>
      </c>
      <c r="H25" s="112" t="s">
        <v>155</v>
      </c>
      <c r="I25" s="110"/>
    </row>
    <row r="26" spans="2:9">
      <c r="B26" s="66" t="s">
        <v>156</v>
      </c>
      <c r="F26" s="57" t="s">
        <v>157</v>
      </c>
      <c r="H26" s="70" t="s">
        <v>158</v>
      </c>
    </row>
    <row r="27" spans="2:9">
      <c r="B27" s="66" t="s">
        <v>159</v>
      </c>
      <c r="D27" s="61"/>
      <c r="F27" s="59" t="s">
        <v>160</v>
      </c>
      <c r="H27" s="109" t="s">
        <v>161</v>
      </c>
      <c r="I27" s="108"/>
    </row>
    <row r="28" spans="2:9">
      <c r="B28" s="66" t="s">
        <v>162</v>
      </c>
      <c r="D28" s="61"/>
      <c r="F28" s="57" t="s">
        <v>163</v>
      </c>
      <c r="H28" s="112" t="s">
        <v>164</v>
      </c>
      <c r="I28" s="70"/>
    </row>
    <row r="29" spans="2:9">
      <c r="B29" s="66" t="s">
        <v>165</v>
      </c>
      <c r="F29" s="59" t="s">
        <v>166</v>
      </c>
      <c r="H29" s="110" t="s">
        <v>167</v>
      </c>
      <c r="I29" s="111"/>
    </row>
    <row r="30" spans="2:9">
      <c r="B30" s="66" t="s">
        <v>168</v>
      </c>
      <c r="F30" s="57" t="s">
        <v>169</v>
      </c>
      <c r="H30" s="69" t="s">
        <v>170</v>
      </c>
      <c r="I30" s="109"/>
    </row>
    <row r="31" spans="2:9">
      <c r="B31" s="66" t="s">
        <v>171</v>
      </c>
      <c r="F31" s="59" t="s">
        <v>172</v>
      </c>
      <c r="H31" s="69" t="s">
        <v>173</v>
      </c>
    </row>
    <row r="32" spans="2:9">
      <c r="B32" s="66" t="s">
        <v>174</v>
      </c>
      <c r="F32" s="57" t="s">
        <v>175</v>
      </c>
      <c r="H32" s="111" t="s">
        <v>176</v>
      </c>
      <c r="I32" s="110"/>
    </row>
    <row r="33" spans="2:9">
      <c r="B33" s="66" t="s">
        <v>177</v>
      </c>
      <c r="F33" s="59" t="s">
        <v>71</v>
      </c>
      <c r="H33" s="119" t="s">
        <v>178</v>
      </c>
      <c r="I33" s="110"/>
    </row>
    <row r="34" spans="2:9">
      <c r="B34" s="66" t="s">
        <v>179</v>
      </c>
      <c r="F34" s="57" t="s">
        <v>180</v>
      </c>
      <c r="H34" s="109" t="s">
        <v>1</v>
      </c>
      <c r="I34" s="69"/>
    </row>
    <row r="35" spans="2:9">
      <c r="B35" s="66" t="s">
        <v>181</v>
      </c>
      <c r="F35" s="59" t="s">
        <v>182</v>
      </c>
      <c r="H35" s="114" t="s">
        <v>183</v>
      </c>
      <c r="I35" s="109"/>
    </row>
    <row r="36" spans="2:9">
      <c r="B36" s="66" t="s">
        <v>184</v>
      </c>
      <c r="F36" s="57" t="s">
        <v>185</v>
      </c>
      <c r="H36" s="111" t="s">
        <v>186</v>
      </c>
      <c r="I36" s="102"/>
    </row>
    <row r="37" spans="2:9">
      <c r="B37" s="66" t="s">
        <v>187</v>
      </c>
      <c r="F37" s="57" t="s">
        <v>188</v>
      </c>
      <c r="H37" s="112" t="s">
        <v>189</v>
      </c>
      <c r="I37" s="110"/>
    </row>
    <row r="38" spans="2:9">
      <c r="B38" s="66" t="s">
        <v>190</v>
      </c>
      <c r="F38" s="57" t="s">
        <v>19</v>
      </c>
      <c r="H38" s="109" t="s">
        <v>191</v>
      </c>
      <c r="I38" s="109"/>
    </row>
    <row r="39" spans="2:9" ht="27.6">
      <c r="B39" s="66" t="s">
        <v>192</v>
      </c>
      <c r="F39" s="57" t="s">
        <v>193</v>
      </c>
      <c r="H39" s="109" t="s">
        <v>194</v>
      </c>
      <c r="I39" s="111"/>
    </row>
    <row r="40" spans="2:9">
      <c r="B40" s="66" t="s">
        <v>195</v>
      </c>
      <c r="F40" s="59" t="s">
        <v>196</v>
      </c>
      <c r="H40" s="69" t="s">
        <v>197</v>
      </c>
      <c r="I40" s="112"/>
    </row>
    <row r="41" spans="2:9">
      <c r="B41" s="66" t="s">
        <v>198</v>
      </c>
      <c r="D41" s="63"/>
      <c r="H41" s="111" t="s">
        <v>199</v>
      </c>
      <c r="I41" s="112"/>
    </row>
    <row r="42" spans="2:9">
      <c r="B42" s="66" t="s">
        <v>200</v>
      </c>
      <c r="H42" s="112" t="s">
        <v>201</v>
      </c>
      <c r="I42" s="109"/>
    </row>
    <row r="43" spans="2:9">
      <c r="B43" s="66" t="s">
        <v>202</v>
      </c>
      <c r="H43" s="109" t="s">
        <v>203</v>
      </c>
      <c r="I43" s="111"/>
    </row>
    <row r="44" spans="2:9">
      <c r="B44" s="121" t="s">
        <v>204</v>
      </c>
      <c r="H44" s="111" t="s">
        <v>205</v>
      </c>
    </row>
    <row r="45" spans="2:9">
      <c r="H45" s="112" t="s">
        <v>206</v>
      </c>
      <c r="I45" s="110"/>
    </row>
    <row r="46" spans="2:9">
      <c r="H46" s="70" t="s">
        <v>207</v>
      </c>
      <c r="I46" s="113"/>
    </row>
    <row r="47" spans="2:9">
      <c r="B47" s="62"/>
      <c r="H47" s="112" t="s">
        <v>208</v>
      </c>
      <c r="I47" s="112"/>
    </row>
    <row r="48" spans="2:9">
      <c r="H48" s="70" t="s">
        <v>209</v>
      </c>
      <c r="I48" s="112"/>
    </row>
    <row r="49" spans="8:9">
      <c r="H49" s="109" t="s">
        <v>210</v>
      </c>
      <c r="I49" s="112"/>
    </row>
    <row r="50" spans="8:9">
      <c r="H50" s="70" t="s">
        <v>211</v>
      </c>
      <c r="I50" s="112"/>
    </row>
    <row r="51" spans="8:9">
      <c r="H51" s="69" t="s">
        <v>212</v>
      </c>
      <c r="I51" s="112"/>
    </row>
    <row r="52" spans="8:9">
      <c r="H52" s="112" t="s">
        <v>213</v>
      </c>
    </row>
    <row r="53" spans="8:9">
      <c r="H53" s="109" t="s">
        <v>214</v>
      </c>
      <c r="I53" s="112"/>
    </row>
    <row r="54" spans="8:9">
      <c r="H54" s="69" t="s">
        <v>215</v>
      </c>
      <c r="I54" s="111"/>
    </row>
    <row r="55" spans="8:9">
      <c r="H55" s="70" t="s">
        <v>216</v>
      </c>
      <c r="I55" s="111"/>
    </row>
    <row r="56" spans="8:9">
      <c r="H56" s="109" t="s">
        <v>217</v>
      </c>
      <c r="I56" s="70"/>
    </row>
    <row r="57" spans="8:9">
      <c r="H57" s="70" t="s">
        <v>218</v>
      </c>
      <c r="I57" s="112"/>
    </row>
    <row r="58" spans="8:9">
      <c r="H58" s="70" t="s">
        <v>219</v>
      </c>
      <c r="I58" s="112"/>
    </row>
    <row r="59" spans="8:9">
      <c r="H59" s="112" t="s">
        <v>220</v>
      </c>
      <c r="I59" s="115"/>
    </row>
    <row r="60" spans="8:9">
      <c r="H60" s="115" t="s">
        <v>221</v>
      </c>
      <c r="I60" s="69"/>
    </row>
    <row r="61" spans="8:9">
      <c r="H61" s="69" t="s">
        <v>222</v>
      </c>
      <c r="I61" s="110"/>
    </row>
    <row r="62" spans="8:9">
      <c r="H62" s="69" t="s">
        <v>223</v>
      </c>
      <c r="I62" s="69"/>
    </row>
    <row r="63" spans="8:9">
      <c r="H63" s="110" t="s">
        <v>224</v>
      </c>
    </row>
    <row r="64" spans="8:9">
      <c r="H64" s="120" t="s">
        <v>225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BCC180-6A99-4BD8-86B2-BFB33F3035A3}"/>
</file>

<file path=customXml/itemProps2.xml><?xml version="1.0" encoding="utf-8"?>
<ds:datastoreItem xmlns:ds="http://schemas.openxmlformats.org/officeDocument/2006/customXml" ds:itemID="{130F2F06-343B-48EB-B59D-98A21DCA9924}"/>
</file>

<file path=customXml/itemProps3.xml><?xml version="1.0" encoding="utf-8"?>
<ds:datastoreItem xmlns:ds="http://schemas.openxmlformats.org/officeDocument/2006/customXml" ds:itemID="{C600D05F-5466-4B8E-8C0A-8378B8D66441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Kayden Padayachee</cp:lastModifiedBy>
  <cp:revision/>
  <dcterms:created xsi:type="dcterms:W3CDTF">2020-04-02T09:04:10Z</dcterms:created>
  <dcterms:modified xsi:type="dcterms:W3CDTF">2026-04-27T14:17:16Z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